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appy\Downloads\"/>
    </mc:Choice>
  </mc:AlternateContent>
  <xr:revisionPtr revIDLastSave="0" documentId="13_ncr:1_{A9E9D073-7108-43A2-9E60-CB3699CB359A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ales_Data" sheetId="1" r:id="rId1"/>
    <sheet name="Analysis" sheetId="2" r:id="rId2"/>
    <sheet name="Project_Overview" sheetId="3" r:id="rId3"/>
  </sheets>
  <definedNames>
    <definedName name="_xlnm._FilterDatabase" localSheetId="0" hidden="1">Sales_Data!$A$1:$K$101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2" i="2" l="1"/>
  <c r="B32" i="2"/>
  <c r="F31" i="2"/>
  <c r="B31" i="2"/>
  <c r="F30" i="2"/>
  <c r="B30" i="2"/>
  <c r="F29" i="2"/>
  <c r="B29" i="2"/>
  <c r="F28" i="2"/>
  <c r="B28" i="2"/>
  <c r="F27" i="2"/>
  <c r="B27" i="2"/>
  <c r="F26" i="2"/>
  <c r="B26" i="2"/>
  <c r="F25" i="2"/>
  <c r="B25" i="2"/>
  <c r="F24" i="2"/>
  <c r="B24" i="2"/>
  <c r="F23" i="2"/>
  <c r="B23" i="2"/>
  <c r="F22" i="2"/>
  <c r="B22" i="2"/>
  <c r="F21" i="2"/>
  <c r="B21" i="2"/>
  <c r="C16" i="2"/>
  <c r="B16" i="2"/>
  <c r="G15" i="2"/>
  <c r="F15" i="2"/>
  <c r="C15" i="2"/>
  <c r="B15" i="2"/>
  <c r="G14" i="2"/>
  <c r="F14" i="2"/>
  <c r="C14" i="2"/>
  <c r="B14" i="2"/>
  <c r="G13" i="2"/>
  <c r="F13" i="2"/>
  <c r="C13" i="2"/>
  <c r="B13" i="2"/>
  <c r="B8" i="2"/>
  <c r="B7" i="2"/>
  <c r="B9" i="2" s="1"/>
  <c r="B6" i="2"/>
  <c r="B5" i="2"/>
  <c r="B4" i="2"/>
</calcChain>
</file>

<file path=xl/sharedStrings.xml><?xml version="1.0" encoding="utf-8"?>
<sst xmlns="http://schemas.openxmlformats.org/spreadsheetml/2006/main" count="563" uniqueCount="174">
  <si>
    <t>Order ID</t>
  </si>
  <si>
    <t>Order Date</t>
  </si>
  <si>
    <t>Region</t>
  </si>
  <si>
    <t>Category</t>
  </si>
  <si>
    <t>Product</t>
  </si>
  <si>
    <t>Customer</t>
  </si>
  <si>
    <t>Quantity</t>
  </si>
  <si>
    <t>Unit Price</t>
  </si>
  <si>
    <t>Sales</t>
  </si>
  <si>
    <t>Cost</t>
  </si>
  <si>
    <t>Profit</t>
  </si>
  <si>
    <t>ORD0001</t>
  </si>
  <si>
    <t>North</t>
  </si>
  <si>
    <t>Electronics</t>
  </si>
  <si>
    <t>Keyboard</t>
  </si>
  <si>
    <t>Customer 8</t>
  </si>
  <si>
    <t>ORD0002</t>
  </si>
  <si>
    <t>Office Supplies</t>
  </si>
  <si>
    <t>Stapler</t>
  </si>
  <si>
    <t>Customer 2</t>
  </si>
  <si>
    <t>ORD0003</t>
  </si>
  <si>
    <t>Notebook</t>
  </si>
  <si>
    <t>Customer 18</t>
  </si>
  <si>
    <t>ORD0004</t>
  </si>
  <si>
    <t>East</t>
  </si>
  <si>
    <t>Monitor</t>
  </si>
  <si>
    <t>Customer 14</t>
  </si>
  <si>
    <t>ORD0005</t>
  </si>
  <si>
    <t>Laptop</t>
  </si>
  <si>
    <t>Customer 13</t>
  </si>
  <si>
    <t>ORD0006</t>
  </si>
  <si>
    <t>Mouse</t>
  </si>
  <si>
    <t>ORD0007</t>
  </si>
  <si>
    <t>Pen Set</t>
  </si>
  <si>
    <t>Customer 20</t>
  </si>
  <si>
    <t>ORD0008</t>
  </si>
  <si>
    <t>Customer 10</t>
  </si>
  <si>
    <t>ORD0009</t>
  </si>
  <si>
    <t>West</t>
  </si>
  <si>
    <t>Furniture</t>
  </si>
  <si>
    <t>Table</t>
  </si>
  <si>
    <t>Customer 12</t>
  </si>
  <si>
    <t>ORD0010</t>
  </si>
  <si>
    <t>Printer Paper</t>
  </si>
  <si>
    <t>ORD0011</t>
  </si>
  <si>
    <t>South</t>
  </si>
  <si>
    <t>Customer 9</t>
  </si>
  <si>
    <t>ORD0012</t>
  </si>
  <si>
    <t>Customer 11</t>
  </si>
  <si>
    <t>ORD0013</t>
  </si>
  <si>
    <t>ORD0014</t>
  </si>
  <si>
    <t>Customer 19</t>
  </si>
  <si>
    <t>ORD0015</t>
  </si>
  <si>
    <t>Customer 17</t>
  </si>
  <si>
    <t>ORD0016</t>
  </si>
  <si>
    <t>ORD0017</t>
  </si>
  <si>
    <t>ORD0018</t>
  </si>
  <si>
    <t>Customer 4</t>
  </si>
  <si>
    <t>ORD0019</t>
  </si>
  <si>
    <t>ORD0020</t>
  </si>
  <si>
    <t>Customer 5</t>
  </si>
  <si>
    <t>ORD0021</t>
  </si>
  <si>
    <t>Customer 16</t>
  </si>
  <si>
    <t>ORD0022</t>
  </si>
  <si>
    <t>ORD0023</t>
  </si>
  <si>
    <t>ORD0024</t>
  </si>
  <si>
    <t>Customer 7</t>
  </si>
  <si>
    <t>ORD0025</t>
  </si>
  <si>
    <t>ORD0026</t>
  </si>
  <si>
    <t>ORD0027</t>
  </si>
  <si>
    <t>Customer 1</t>
  </si>
  <si>
    <t>ORD0028</t>
  </si>
  <si>
    <t>ORD0029</t>
  </si>
  <si>
    <t>ORD0030</t>
  </si>
  <si>
    <t>ORD0031</t>
  </si>
  <si>
    <t>ORD0032</t>
  </si>
  <si>
    <t>ORD0033</t>
  </si>
  <si>
    <t>ORD0034</t>
  </si>
  <si>
    <t>Customer 3</t>
  </si>
  <si>
    <t>ORD0035</t>
  </si>
  <si>
    <t>ORD0036</t>
  </si>
  <si>
    <t>Bookshelf</t>
  </si>
  <si>
    <t>ORD0037</t>
  </si>
  <si>
    <t>ORD0038</t>
  </si>
  <si>
    <t>ORD0039</t>
  </si>
  <si>
    <t>Customer 6</t>
  </si>
  <si>
    <t>ORD0040</t>
  </si>
  <si>
    <t>Office Chair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</si>
  <si>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</si>
  <si>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</si>
  <si>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</si>
  <si>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</si>
  <si>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</si>
  <si>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</si>
  <si>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</si>
  <si>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</si>
  <si>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</si>
  <si>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</si>
  <si>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</si>
  <si>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Desk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</si>
  <si>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</si>
  <si>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</si>
  <si>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</si>
  <si>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</si>
  <si>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</si>
  <si>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</si>
  <si>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</si>
  <si>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</si>
  <si>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</si>
  <si>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</si>
  <si>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</si>
  <si>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</si>
  <si>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</si>
  <si>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</si>
  <si>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</si>
  <si>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Customer 15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</si>
  <si>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</si>
  <si>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</si>
  <si>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</si>
  <si>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</si>
  <si>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</si>
  <si>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</si>
  <si>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</si>
  <si>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</si>
  <si>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</si>
  <si>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</si>
  <si>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</si>
  <si>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</si>
  <si>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</si>
  <si>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</si>
  <si>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</si>
  <si>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</si>
  <si>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</si>
  <si>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</si>
  <si>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</si>
  <si>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</si>
  <si>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</si>
  <si>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</si>
  <si>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</si>
  <si>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</si>
  <si>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</si>
  <si>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</si>
  <si>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</si>
  <si>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</si>
  <si>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</si>
  <si>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</si>
  <si>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</si>
  <si>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</si>
  <si>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</si>
  <si>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</si>
  <si>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SALES DATA ANALYSIS</t>
  </si>
  <si>
    <t>KPI</t>
  </si>
  <si>
    <t>Value</t>
  </si>
  <si>
    <t>Total Sales</t>
  </si>
  <si>
    <t>Total Cost</t>
  </si>
  <si>
    <t>Total Profit</t>
  </si>
  <si>
    <t>Total Orders</t>
  </si>
  <si>
    <t>Total Quantity</t>
  </si>
  <si>
    <t>Average Order Value</t>
  </si>
  <si>
    <t>Month</t>
  </si>
  <si>
    <t>Project</t>
  </si>
  <si>
    <t>Sales Data Analysis</t>
  </si>
  <si>
    <t>Objective</t>
  </si>
  <si>
    <t>Analyze sales performance, profitability, regions, products and monthly trends.</t>
  </si>
  <si>
    <t>Tools</t>
  </si>
  <si>
    <t>Microsoft Excel, Pivot-style analysis, formulas and charts</t>
  </si>
  <si>
    <t>Dataset</t>
  </si>
  <si>
    <t>100 sample sales transactions for 2025</t>
  </si>
  <si>
    <t>Key Skills</t>
  </si>
  <si>
    <t>Data cleaning, KPI analysis, SUMIF/SUMIFS, business reporting and visualization</t>
  </si>
  <si>
    <t>Key Questions</t>
  </si>
  <si>
    <t>Which region performs best? Which categories/products generate the most sales? How does sales change by month?</t>
  </si>
  <si>
    <t>Author</t>
  </si>
  <si>
    <t>GK Vamsi - SQL Developer | Reporting Analyst | Data Analyst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</si>
</sst>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-mmm\-yyyy"/>
    <numFmt numFmtId="166" formatCode="mmm\-yyyy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8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A64D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 applyAlignment="1">
      <alignment horizontal="center"/>
    </xf>
    <xf numFmtId="165" fontId="0" fillId="0" borderId="0" xfId="0" applyNumberFormat="1"/>
    <xf numFmtId="4" fontId="0" fillId="0" borderId="0" xfId="0" applyNumberFormat="1"/>
    <xf numFmtId="0" fontId="3" fillId="0" borderId="0" xfId="0" applyFont="1"/>
    <xf numFmtId="0" fontId="1" fillId="0" borderId="0" xfId="0" applyFont="1"/>
    <xf numFmtId="0" fontId="2" fillId="4" borderId="1" xfId="0" applyFont="1" applyFill="1" applyBorder="1"/>
    <xf numFmtId="0" fontId="0" fillId="0" borderId="1" xfId="0" applyBorder="1"/>
    <xf numFmtId="4" fontId="0" fillId="0" borderId="1" xfId="0" applyNumberFormat="1" applyBorder="1"/>
    <xf numFmtId="0" fontId="2" fillId="3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 by Region</a:t>
            </a:r>
          </a:p>
        </c:rich>
      </c:tx>
      <c:layout>
        <c:manualLayout>
          <c:xMode val="edge"/>
          <c:yMode val="edge"/>
          <c:x val="0.38775787037037035"/>
          <c:y val="0.10477724522668343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Analysis!$B$12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Analysis!$A$13:$A$16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Analysis!$B$13:$B$16</c:f>
              <c:numCache>
                <c:formatCode>#,##0.00</c:formatCode>
                <c:ptCount val="4"/>
                <c:pt idx="0">
                  <c:v>1793440</c:v>
                </c:pt>
                <c:pt idx="1">
                  <c:v>1278060</c:v>
                </c:pt>
                <c:pt idx="2">
                  <c:v>2052530</c:v>
                </c:pt>
                <c:pt idx="3">
                  <c:v>1162970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D3-43EF-B7D3-8DCD8B946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Region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Sales Trend</a:t>
            </a:r>
          </a:p>
        </c:rich>
      </c:tx>
      <c:layout>
        <c:manualLayout>
          <c:xMode val="edge"/>
          <c:yMode val="edge"/>
          <c:x val="0.37442569444444446"/>
          <c:y val="6.2240663900414939E-2"/>
        </c:manualLayout>
      </c:layout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Analysis!$F$20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Analysis!$E$21:$E$32</c:f>
              <c:numCache>
                <c:formatCode>mmm\-yyyy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Analysis!$F$21:$F$32</c:f>
              <c:numCache>
                <c:formatCode>#,##0.00</c:formatCode>
                <c:ptCount val="12"/>
                <c:pt idx="0">
                  <c:v>589700</c:v>
                </c:pt>
                <c:pt idx="1">
                  <c:v>475610</c:v>
                </c:pt>
                <c:pt idx="2">
                  <c:v>38850</c:v>
                </c:pt>
                <c:pt idx="3">
                  <c:v>402210</c:v>
                </c:pt>
                <c:pt idx="4">
                  <c:v>822950</c:v>
                </c:pt>
                <c:pt idx="5">
                  <c:v>947190</c:v>
                </c:pt>
                <c:pt idx="6">
                  <c:v>1242540</c:v>
                </c:pt>
                <c:pt idx="7">
                  <c:v>600800</c:v>
                </c:pt>
                <c:pt idx="8">
                  <c:v>292100</c:v>
                </c:pt>
                <c:pt idx="9">
                  <c:v>552360</c:v>
                </c:pt>
                <c:pt idx="10">
                  <c:v>235940</c:v>
                </c:pt>
                <c:pt idx="11">
                  <c:v>86750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CF4-4B98-B87E-1743A0056F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overlay val="1"/>
        </c:title>
        <c:numFmt formatCode="mmm\-yy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158750</xdr:rowOff>
    </xdr:from>
    <xdr:ext cx="4320000" cy="2545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17</xdr:row>
      <xdr:rowOff>0</xdr:rowOff>
    </xdr:from>
    <xdr:ext cx="4320000" cy="30607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3" width="12" customWidth="1"/>
    <col min="4" max="4" width="17" customWidth="1"/>
    <col min="5" max="5" width="15" customWidth="1"/>
    <col min="6" max="6" width="13" customWidth="1"/>
    <col min="7" max="11" width="12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s="2">
        <v>45985</v>
      </c>
      <c r="C2" t="s">
        <v>12</v>
      </c>
      <c r="D2" t="s">
        <v>13</v>
      </c>
      <c r="E2" t="s">
        <v>14</v>
      </c>
      <c r="F2" t="s">
        <v>15</v>
      </c>
      <c r="G2">
        <v>4</v>
      </c>
      <c r="H2" s="3">
        <v>2500</v>
      </c>
      <c r="I2" s="3">
        <v>10000</v>
      </c>
      <c r="J2" s="3">
        <v>6390.71</v>
      </c>
      <c r="K2" s="3">
        <v>3609.29</v>
      </c>
    </row>
    <row r="3" spans="1:11" x14ac:dyDescent="0.35">
      <c r="A3" t="s">
        <v>16</v>
      </c>
      <c r="B3" s="2">
        <v>45710</v>
      </c>
      <c r="C3" t="s">
        <v>12</v>
      </c>
      <c r="D3" t="s">
        <v>17</v>
      </c>
      <c r="E3" t="s">
        <v>18</v>
      </c>
      <c r="F3" t="s">
        <v>19</v>
      </c>
      <c r="G3">
        <v>1</v>
      </c>
      <c r="H3" s="3">
        <v>300</v>
      </c>
      <c r="I3" s="3">
        <v>300</v>
      </c>
      <c r="J3" s="3">
        <v>187.87</v>
      </c>
      <c r="K3" s="3">
        <v>112.13</v>
      </c>
    </row>
    <row r="4" spans="1:11" x14ac:dyDescent="0.35">
      <c r="A4" t="s">
        <v>20</v>
      </c>
      <c r="B4" s="2">
        <v>45777</v>
      </c>
      <c r="C4" t="s">
        <v>12</v>
      </c>
      <c r="D4" t="s">
        <v>17</v>
      </c>
      <c r="E4" t="s">
        <v>21</v>
      </c>
      <c r="F4" t="s">
        <v>22</v>
      </c>
      <c r="G4">
        <v>7</v>
      </c>
      <c r="H4" s="3">
        <v>180</v>
      </c>
      <c r="I4" s="3">
        <v>1260</v>
      </c>
      <c r="J4" s="3">
        <v>833.77</v>
      </c>
      <c r="K4" s="3">
        <v>426.23</v>
      </c>
    </row>
    <row r="5" spans="1:11" x14ac:dyDescent="0.35">
      <c r="A5" t="s">
        <v>23</v>
      </c>
      <c r="B5" s="2">
        <v>45959</v>
      </c>
      <c r="C5" t="s">
        <v>24</v>
      </c>
      <c r="D5" t="s">
        <v>13</v>
      </c>
      <c r="E5" t="s">
        <v>25</v>
      </c>
      <c r="F5" t="s">
        <v>26</v>
      </c>
      <c r="G5">
        <v>6</v>
      </c>
      <c r="H5" s="3">
        <v>18000</v>
      </c>
      <c r="I5" s="3">
        <v>108000</v>
      </c>
      <c r="J5" s="3">
        <v>73202.83</v>
      </c>
      <c r="K5" s="3">
        <v>34797.17</v>
      </c>
    </row>
    <row r="6" spans="1:11" x14ac:dyDescent="0.35">
      <c r="A6" t="s">
        <v>27</v>
      </c>
      <c r="B6" s="2">
        <v>45768</v>
      </c>
      <c r="C6" t="s">
        <v>24</v>
      </c>
      <c r="D6" t="s">
        <v>13</v>
      </c>
      <c r="E6" t="s">
        <v>28</v>
      </c>
      <c r="F6" t="s">
        <v>29</v>
      </c>
      <c r="G6">
        <v>2</v>
      </c>
      <c r="H6" s="3">
        <v>65000</v>
      </c>
      <c r="I6" s="3">
        <v>130000</v>
      </c>
      <c r="J6" s="3">
        <v>91066.85</v>
      </c>
      <c r="K6" s="3">
        <v>38933.15</v>
      </c>
    </row>
    <row r="7" spans="1:11" x14ac:dyDescent="0.35">
      <c r="A7" t="s">
        <v>30</v>
      </c>
      <c r="B7" s="2">
        <v>45834</v>
      </c>
      <c r="C7" t="s">
        <v>24</v>
      </c>
      <c r="D7" t="s">
        <v>13</v>
      </c>
      <c r="E7" t="s">
        <v>31</v>
      </c>
      <c r="F7" t="s">
        <v>22</v>
      </c>
      <c r="G7">
        <v>2</v>
      </c>
      <c r="H7" s="3">
        <v>1200</v>
      </c>
      <c r="I7" s="3">
        <v>2400</v>
      </c>
      <c r="J7" s="3">
        <v>2093.9299999999998</v>
      </c>
      <c r="K7" s="3">
        <v>306.07</v>
      </c>
    </row>
    <row r="8" spans="1:11" x14ac:dyDescent="0.35">
      <c r="A8" t="s">
        <v>32</v>
      </c>
      <c r="B8" s="2">
        <v>45851</v>
      </c>
      <c r="C8" t="s">
        <v>12</v>
      </c>
      <c r="D8" t="s">
        <v>17</v>
      </c>
      <c r="E8" t="s">
        <v>33</v>
      </c>
      <c r="F8" t="s">
        <v>34</v>
      </c>
      <c r="G8">
        <v>6</v>
      </c>
      <c r="H8" s="3">
        <v>250</v>
      </c>
      <c r="I8" s="3">
        <v>1500</v>
      </c>
      <c r="J8" s="3">
        <v>1142.49</v>
      </c>
      <c r="K8" s="3">
        <v>357.51</v>
      </c>
    </row>
    <row r="9" spans="1:11" x14ac:dyDescent="0.35">
      <c r="A9" t="s">
        <v>35</v>
      </c>
      <c r="B9" s="2">
        <v>46018</v>
      </c>
      <c r="C9" t="s">
        <v>12</v>
      </c>
      <c r="D9" t="s">
        <v>13</v>
      </c>
      <c r="E9" t="s">
        <v>25</v>
      </c>
      <c r="F9" t="s">
        <v>36</v>
      </c>
      <c r="G9">
        <v>2</v>
      </c>
      <c r="H9" s="3">
        <v>18000</v>
      </c>
      <c r="I9" s="3">
        <v>36000</v>
      </c>
      <c r="J9" s="3">
        <v>30221.599999999999</v>
      </c>
      <c r="K9" s="3">
        <v>5778.4</v>
      </c>
    </row>
    <row r="10" spans="1:11" x14ac:dyDescent="0.35">
      <c r="A10" t="s">
        <v>37</v>
      </c>
      <c r="B10" s="2">
        <v>45709</v>
      </c>
      <c r="C10" t="s">
        <v>38</v>
      </c>
      <c r="D10" t="s">
        <v>39</v>
      </c>
      <c r="E10" t="s">
        <v>40</v>
      </c>
      <c r="F10" t="s">
        <v>41</v>
      </c>
      <c r="G10">
        <v>3</v>
      </c>
      <c r="H10" s="3">
        <v>9000</v>
      </c>
      <c r="I10" s="3">
        <v>27000</v>
      </c>
      <c r="J10" s="3">
        <v>18998.57</v>
      </c>
      <c r="K10" s="3">
        <v>8001.43</v>
      </c>
    </row>
    <row r="11" spans="1:11" x14ac:dyDescent="0.35">
      <c r="A11" t="s">
        <v>42</v>
      </c>
      <c r="B11" s="2">
        <v>45765</v>
      </c>
      <c r="C11" t="s">
        <v>24</v>
      </c>
      <c r="D11" t="s">
        <v>17</v>
      </c>
      <c r="E11" t="s">
        <v>43</v>
      </c>
      <c r="F11" t="s">
        <v>34</v>
      </c>
      <c r="G11">
        <v>3</v>
      </c>
      <c r="H11" s="3">
        <v>450</v>
      </c>
      <c r="I11" s="3">
        <v>1350</v>
      </c>
      <c r="J11" s="3">
        <v>1011.9</v>
      </c>
      <c r="K11" s="3">
        <v>338.1</v>
      </c>
    </row>
    <row r="12" spans="1:11" x14ac:dyDescent="0.35">
      <c r="A12" t="s">
        <v>44</v>
      </c>
      <c r="B12" s="2">
        <v>45783</v>
      </c>
      <c r="C12" t="s">
        <v>45</v>
      </c>
      <c r="D12" t="s">
        <v>39</v>
      </c>
      <c r="E12" t="s">
        <v>40</v>
      </c>
      <c r="F12" t="s">
        <v>46</v>
      </c>
      <c r="G12">
        <v>9</v>
      </c>
      <c r="H12" s="3">
        <v>9000</v>
      </c>
      <c r="I12" s="3">
        <v>81000</v>
      </c>
      <c r="J12" s="3">
        <v>53580.87</v>
      </c>
      <c r="K12" s="3">
        <v>27419.13</v>
      </c>
    </row>
    <row r="13" spans="1:11" x14ac:dyDescent="0.35">
      <c r="A13" t="s">
        <v>47</v>
      </c>
      <c r="B13" s="2">
        <v>45824</v>
      </c>
      <c r="C13" t="s">
        <v>12</v>
      </c>
      <c r="D13" t="s">
        <v>13</v>
      </c>
      <c r="E13" t="s">
        <v>28</v>
      </c>
      <c r="F13" t="s">
        <v>48</v>
      </c>
      <c r="G13">
        <v>7</v>
      </c>
      <c r="H13" s="3">
        <v>65000</v>
      </c>
      <c r="I13" s="3">
        <v>455000</v>
      </c>
      <c r="J13" s="3">
        <v>307110.19</v>
      </c>
      <c r="K13" s="3">
        <v>147889.81</v>
      </c>
    </row>
    <row r="14" spans="1:11" x14ac:dyDescent="0.35">
      <c r="A14" t="s">
        <v>49</v>
      </c>
      <c r="B14" s="2">
        <v>45766</v>
      </c>
      <c r="C14" t="s">
        <v>24</v>
      </c>
      <c r="D14" t="s">
        <v>13</v>
      </c>
      <c r="E14" t="s">
        <v>31</v>
      </c>
      <c r="F14" t="s">
        <v>29</v>
      </c>
      <c r="G14">
        <v>8</v>
      </c>
      <c r="H14" s="3">
        <v>1200</v>
      </c>
      <c r="I14" s="3">
        <v>9600</v>
      </c>
      <c r="J14" s="3">
        <v>6144.04</v>
      </c>
      <c r="K14" s="3">
        <v>3455.96</v>
      </c>
    </row>
    <row r="15" spans="1:11" x14ac:dyDescent="0.35">
      <c r="A15" t="s">
        <v>50</v>
      </c>
      <c r="B15" s="2">
        <v>45729</v>
      </c>
      <c r="C15" t="s">
        <v>45</v>
      </c>
      <c r="D15" t="s">
        <v>17</v>
      </c>
      <c r="E15" t="s">
        <v>33</v>
      </c>
      <c r="F15" t="s">
        <v>51</v>
      </c>
      <c r="G15">
        <v>7</v>
      </c>
      <c r="H15" s="3">
        <v>250</v>
      </c>
      <c r="I15" s="3">
        <v>1750</v>
      </c>
      <c r="J15" s="3">
        <v>1489.93</v>
      </c>
      <c r="K15" s="3">
        <v>260.07</v>
      </c>
    </row>
    <row r="16" spans="1:11" x14ac:dyDescent="0.35">
      <c r="A16" t="s">
        <v>52</v>
      </c>
      <c r="B16" s="2">
        <v>45862</v>
      </c>
      <c r="C16" t="s">
        <v>24</v>
      </c>
      <c r="D16" t="s">
        <v>13</v>
      </c>
      <c r="E16" t="s">
        <v>25</v>
      </c>
      <c r="F16" t="s">
        <v>53</v>
      </c>
      <c r="G16">
        <v>8</v>
      </c>
      <c r="H16" s="3">
        <v>18000</v>
      </c>
      <c r="I16" s="3">
        <v>144000</v>
      </c>
      <c r="J16" s="3">
        <v>90065.47</v>
      </c>
      <c r="K16" s="3">
        <v>53934.53</v>
      </c>
    </row>
    <row r="17" spans="1:11" x14ac:dyDescent="0.35">
      <c r="A17" t="s">
        <v>54</v>
      </c>
      <c r="B17" s="2">
        <v>45682</v>
      </c>
      <c r="C17" t="s">
        <v>12</v>
      </c>
      <c r="D17" t="s">
        <v>13</v>
      </c>
      <c r="E17" t="s">
        <v>25</v>
      </c>
      <c r="F17" t="s">
        <v>26</v>
      </c>
      <c r="G17">
        <v>10</v>
      </c>
      <c r="H17" s="3">
        <v>18000</v>
      </c>
      <c r="I17" s="3">
        <v>180000</v>
      </c>
      <c r="J17" s="3">
        <v>111201.8</v>
      </c>
      <c r="K17" s="3">
        <v>68798.2</v>
      </c>
    </row>
    <row r="18" spans="1:11" x14ac:dyDescent="0.35">
      <c r="A18" t="s">
        <v>55</v>
      </c>
      <c r="B18" s="2">
        <v>45853</v>
      </c>
      <c r="C18" t="s">
        <v>38</v>
      </c>
      <c r="D18" t="s">
        <v>17</v>
      </c>
      <c r="E18" t="s">
        <v>33</v>
      </c>
      <c r="F18" t="s">
        <v>22</v>
      </c>
      <c r="G18">
        <v>1</v>
      </c>
      <c r="H18" s="3">
        <v>250</v>
      </c>
      <c r="I18" s="3">
        <v>250</v>
      </c>
      <c r="J18" s="3">
        <v>197.62</v>
      </c>
      <c r="K18" s="3">
        <v>52.38</v>
      </c>
    </row>
    <row r="19" spans="1:11" x14ac:dyDescent="0.35">
      <c r="A19" t="s">
        <v>56</v>
      </c>
      <c r="B19" s="2">
        <v>45716</v>
      </c>
      <c r="C19" t="s">
        <v>24</v>
      </c>
      <c r="D19" t="s">
        <v>17</v>
      </c>
      <c r="E19" t="s">
        <v>33</v>
      </c>
      <c r="F19" t="s">
        <v>57</v>
      </c>
      <c r="G19">
        <v>5</v>
      </c>
      <c r="H19" s="3">
        <v>250</v>
      </c>
      <c r="I19" s="3">
        <v>1250</v>
      </c>
      <c r="J19" s="3">
        <v>902.17</v>
      </c>
      <c r="K19" s="3">
        <v>347.83</v>
      </c>
    </row>
    <row r="20" spans="1:11" x14ac:dyDescent="0.35">
      <c r="A20" t="s">
        <v>58</v>
      </c>
      <c r="B20" s="2">
        <v>45890</v>
      </c>
      <c r="C20" t="s">
        <v>12</v>
      </c>
      <c r="D20" t="s">
        <v>17</v>
      </c>
      <c r="E20" t="s">
        <v>33</v>
      </c>
      <c r="F20" t="s">
        <v>53</v>
      </c>
      <c r="G20">
        <v>3</v>
      </c>
      <c r="H20" s="3">
        <v>250</v>
      </c>
      <c r="I20" s="3">
        <v>750</v>
      </c>
      <c r="J20" s="3">
        <v>556.61</v>
      </c>
      <c r="K20" s="3">
        <v>193.39</v>
      </c>
    </row>
    <row r="21" spans="1:11" x14ac:dyDescent="0.35">
      <c r="A21" t="s">
        <v>59</v>
      </c>
      <c r="B21" s="2">
        <v>45712</v>
      </c>
      <c r="C21" t="s">
        <v>24</v>
      </c>
      <c r="D21" t="s">
        <v>17</v>
      </c>
      <c r="E21" t="s">
        <v>21</v>
      </c>
      <c r="F21" t="s">
        <v>60</v>
      </c>
      <c r="G21">
        <v>6</v>
      </c>
      <c r="H21" s="3">
        <v>180</v>
      </c>
      <c r="I21" s="3">
        <v>1080</v>
      </c>
      <c r="J21" s="3">
        <v>878.58</v>
      </c>
      <c r="K21" s="3">
        <v>201.42</v>
      </c>
    </row>
    <row r="22" spans="1:11" x14ac:dyDescent="0.35">
      <c r="A22" t="s">
        <v>61</v>
      </c>
      <c r="B22" s="2">
        <v>45934</v>
      </c>
      <c r="C22" t="s">
        <v>12</v>
      </c>
      <c r="D22" t="s">
        <v>17</v>
      </c>
      <c r="E22" t="s">
        <v>33</v>
      </c>
      <c r="F22" t="s">
        <v>62</v>
      </c>
      <c r="G22">
        <v>1</v>
      </c>
      <c r="H22" s="3">
        <v>250</v>
      </c>
      <c r="I22" s="3">
        <v>250</v>
      </c>
      <c r="J22" s="3">
        <v>157.83000000000001</v>
      </c>
      <c r="K22" s="3">
        <v>92.17</v>
      </c>
    </row>
    <row r="23" spans="1:11" x14ac:dyDescent="0.35">
      <c r="A23" t="s">
        <v>63</v>
      </c>
      <c r="B23" s="2">
        <v>45843</v>
      </c>
      <c r="C23" t="s">
        <v>24</v>
      </c>
      <c r="D23" t="s">
        <v>13</v>
      </c>
      <c r="E23" t="s">
        <v>28</v>
      </c>
      <c r="F23" t="s">
        <v>15</v>
      </c>
      <c r="G23">
        <v>10</v>
      </c>
      <c r="H23" s="3">
        <v>65000</v>
      </c>
      <c r="I23" s="3">
        <v>650000</v>
      </c>
      <c r="J23" s="3">
        <v>562344.80000000005</v>
      </c>
      <c r="K23" s="3">
        <v>87655.2</v>
      </c>
    </row>
    <row r="24" spans="1:11" x14ac:dyDescent="0.35">
      <c r="A24" t="s">
        <v>64</v>
      </c>
      <c r="B24" s="2">
        <v>45701</v>
      </c>
      <c r="C24" t="s">
        <v>38</v>
      </c>
      <c r="D24" t="s">
        <v>13</v>
      </c>
      <c r="E24" t="s">
        <v>25</v>
      </c>
      <c r="F24" t="s">
        <v>60</v>
      </c>
      <c r="G24">
        <v>8</v>
      </c>
      <c r="H24" s="3">
        <v>18000</v>
      </c>
      <c r="I24" s="3">
        <v>144000</v>
      </c>
      <c r="J24" s="3">
        <v>124576.94</v>
      </c>
      <c r="K24" s="3">
        <v>19423.060000000001</v>
      </c>
    </row>
    <row r="25" spans="1:11" x14ac:dyDescent="0.35">
      <c r="A25" t="s">
        <v>65</v>
      </c>
      <c r="B25" s="2">
        <v>45742</v>
      </c>
      <c r="C25" t="s">
        <v>24</v>
      </c>
      <c r="D25" t="s">
        <v>17</v>
      </c>
      <c r="E25" t="s">
        <v>18</v>
      </c>
      <c r="F25" t="s">
        <v>66</v>
      </c>
      <c r="G25">
        <v>9</v>
      </c>
      <c r="H25" s="3">
        <v>300</v>
      </c>
      <c r="I25" s="3">
        <v>2700</v>
      </c>
      <c r="J25" s="3">
        <v>2190.98</v>
      </c>
      <c r="K25" s="3">
        <v>509.02</v>
      </c>
    </row>
    <row r="26" spans="1:11" x14ac:dyDescent="0.35">
      <c r="A26" t="s">
        <v>67</v>
      </c>
      <c r="B26" s="2">
        <v>46011</v>
      </c>
      <c r="C26" t="s">
        <v>45</v>
      </c>
      <c r="D26" t="s">
        <v>17</v>
      </c>
      <c r="E26" t="s">
        <v>33</v>
      </c>
      <c r="F26" t="s">
        <v>29</v>
      </c>
      <c r="G26">
        <v>6</v>
      </c>
      <c r="H26" s="3">
        <v>250</v>
      </c>
      <c r="I26" s="3">
        <v>1500</v>
      </c>
      <c r="J26" s="3">
        <v>1084</v>
      </c>
      <c r="K26" s="3">
        <v>416</v>
      </c>
    </row>
    <row r="27" spans="1:11" x14ac:dyDescent="0.35">
      <c r="A27" t="s">
        <v>68</v>
      </c>
      <c r="B27" s="2">
        <v>45922</v>
      </c>
      <c r="C27" t="s">
        <v>38</v>
      </c>
      <c r="D27" t="s">
        <v>13</v>
      </c>
      <c r="E27" t="s">
        <v>25</v>
      </c>
      <c r="F27" t="s">
        <v>15</v>
      </c>
      <c r="G27">
        <v>2</v>
      </c>
      <c r="H27" s="3">
        <v>18000</v>
      </c>
      <c r="I27" s="3">
        <v>36000</v>
      </c>
      <c r="J27" s="3">
        <v>25007.9</v>
      </c>
      <c r="K27" s="3">
        <v>10992.1</v>
      </c>
    </row>
    <row r="28" spans="1:11" x14ac:dyDescent="0.35">
      <c r="A28" t="s">
        <v>69</v>
      </c>
      <c r="B28" s="2">
        <v>45959</v>
      </c>
      <c r="C28" t="s">
        <v>45</v>
      </c>
      <c r="D28" t="s">
        <v>17</v>
      </c>
      <c r="E28" t="s">
        <v>21</v>
      </c>
      <c r="F28" t="s">
        <v>70</v>
      </c>
      <c r="G28">
        <v>2</v>
      </c>
      <c r="H28" s="3">
        <v>180</v>
      </c>
      <c r="I28" s="3">
        <v>360</v>
      </c>
      <c r="J28" s="3">
        <v>287.35000000000002</v>
      </c>
      <c r="K28" s="3">
        <v>72.650000000000006</v>
      </c>
    </row>
    <row r="29" spans="1:11" x14ac:dyDescent="0.35">
      <c r="A29" t="s">
        <v>71</v>
      </c>
      <c r="B29" s="2">
        <v>45688</v>
      </c>
      <c r="C29" t="s">
        <v>45</v>
      </c>
      <c r="D29" t="s">
        <v>13</v>
      </c>
      <c r="E29" t="s">
        <v>28</v>
      </c>
      <c r="F29" t="s">
        <v>48</v>
      </c>
      <c r="G29">
        <v>2</v>
      </c>
      <c r="H29" s="3">
        <v>65000</v>
      </c>
      <c r="I29" s="3">
        <v>130000</v>
      </c>
      <c r="J29" s="3">
        <v>96715.28</v>
      </c>
      <c r="K29" s="3">
        <v>33284.720000000001</v>
      </c>
    </row>
    <row r="30" spans="1:11" x14ac:dyDescent="0.35">
      <c r="A30" t="s">
        <v>72</v>
      </c>
      <c r="B30" s="2">
        <v>45800</v>
      </c>
      <c r="C30" t="s">
        <v>38</v>
      </c>
      <c r="D30" t="s">
        <v>13</v>
      </c>
      <c r="E30" t="s">
        <v>25</v>
      </c>
      <c r="F30" t="s">
        <v>51</v>
      </c>
      <c r="G30">
        <v>10</v>
      </c>
      <c r="H30" s="3">
        <v>18000</v>
      </c>
      <c r="I30" s="3">
        <v>180000</v>
      </c>
      <c r="J30" s="3">
        <v>131822.62</v>
      </c>
      <c r="K30" s="3">
        <v>48177.38</v>
      </c>
    </row>
    <row r="31" spans="1:11" x14ac:dyDescent="0.35">
      <c r="A31" t="s">
        <v>73</v>
      </c>
      <c r="B31" s="2">
        <v>45900</v>
      </c>
      <c r="C31" t="s">
        <v>38</v>
      </c>
      <c r="D31" t="s">
        <v>13</v>
      </c>
      <c r="E31" t="s">
        <v>28</v>
      </c>
      <c r="F31" t="s">
        <v>57</v>
      </c>
      <c r="G31">
        <v>7</v>
      </c>
      <c r="H31" s="3">
        <v>65000</v>
      </c>
      <c r="I31" s="3">
        <v>455000</v>
      </c>
      <c r="J31" s="3">
        <v>318137.51</v>
      </c>
      <c r="K31" s="3">
        <v>136862.49</v>
      </c>
    </row>
    <row r="32" spans="1:11" x14ac:dyDescent="0.35">
      <c r="A32" t="s">
        <v>74</v>
      </c>
      <c r="B32" s="2">
        <v>45868</v>
      </c>
      <c r="C32" t="s">
        <v>38</v>
      </c>
      <c r="D32" t="s">
        <v>17</v>
      </c>
      <c r="E32" t="s">
        <v>43</v>
      </c>
      <c r="F32" t="s">
        <v>57</v>
      </c>
      <c r="G32">
        <v>1</v>
      </c>
      <c r="H32" s="3">
        <v>450</v>
      </c>
      <c r="I32" s="3">
        <v>450</v>
      </c>
      <c r="J32" s="3">
        <v>320.73</v>
      </c>
      <c r="K32" s="3">
        <v>129.27000000000001</v>
      </c>
    </row>
    <row r="33" spans="1:11" x14ac:dyDescent="0.35">
      <c r="A33" t="s">
        <v>75</v>
      </c>
      <c r="B33" s="2">
        <v>45831</v>
      </c>
      <c r="C33" t="s">
        <v>12</v>
      </c>
      <c r="D33" t="s">
        <v>13</v>
      </c>
      <c r="E33" t="s">
        <v>25</v>
      </c>
      <c r="F33" t="s">
        <v>66</v>
      </c>
      <c r="G33">
        <v>9</v>
      </c>
      <c r="H33" s="3">
        <v>18000</v>
      </c>
      <c r="I33" s="3">
        <v>162000</v>
      </c>
      <c r="J33" s="3">
        <v>117549.11</v>
      </c>
      <c r="K33" s="3">
        <v>44450.89</v>
      </c>
    </row>
    <row r="34" spans="1:11" x14ac:dyDescent="0.35">
      <c r="A34" t="s">
        <v>76</v>
      </c>
      <c r="B34" s="2">
        <v>45874</v>
      </c>
      <c r="C34" t="s">
        <v>45</v>
      </c>
      <c r="D34" t="s">
        <v>39</v>
      </c>
      <c r="E34" t="s">
        <v>40</v>
      </c>
      <c r="F34" t="s">
        <v>15</v>
      </c>
      <c r="G34">
        <v>2</v>
      </c>
      <c r="H34" s="3">
        <v>9000</v>
      </c>
      <c r="I34" s="3">
        <v>18000</v>
      </c>
      <c r="J34" s="3">
        <v>13033.38</v>
      </c>
      <c r="K34" s="3">
        <v>4966.62</v>
      </c>
    </row>
    <row r="35" spans="1:11" x14ac:dyDescent="0.35">
      <c r="A35" t="s">
        <v>77</v>
      </c>
      <c r="B35" s="2">
        <v>45939</v>
      </c>
      <c r="C35" t="s">
        <v>12</v>
      </c>
      <c r="D35" t="s">
        <v>13</v>
      </c>
      <c r="E35" t="s">
        <v>28</v>
      </c>
      <c r="F35" t="s">
        <v>78</v>
      </c>
      <c r="G35">
        <v>4</v>
      </c>
      <c r="H35" s="3">
        <v>65000</v>
      </c>
      <c r="I35" s="3">
        <v>260000</v>
      </c>
      <c r="J35" s="3">
        <v>168107.45</v>
      </c>
      <c r="K35" s="3">
        <v>91892.55</v>
      </c>
    </row>
    <row r="36" spans="1:11" x14ac:dyDescent="0.35">
      <c r="A36" t="s">
        <v>79</v>
      </c>
      <c r="B36" s="2">
        <v>45906</v>
      </c>
      <c r="C36" t="s">
        <v>38</v>
      </c>
      <c r="D36" t="s">
        <v>13</v>
      </c>
      <c r="E36" t="s">
        <v>31</v>
      </c>
      <c r="F36" t="s">
        <v>19</v>
      </c>
      <c r="G36">
        <v>3</v>
      </c>
      <c r="H36" s="3">
        <v>1200</v>
      </c>
      <c r="I36" s="3">
        <v>3600</v>
      </c>
      <c r="J36" s="3">
        <v>2542</v>
      </c>
      <c r="K36" s="3">
        <v>1058</v>
      </c>
    </row>
    <row r="37" spans="1:11" x14ac:dyDescent="0.35">
      <c r="A37" t="s">
        <v>80</v>
      </c>
      <c r="B37" s="2">
        <v>45857</v>
      </c>
      <c r="C37" t="s">
        <v>24</v>
      </c>
      <c r="D37" t="s">
        <v>39</v>
      </c>
      <c r="E37" t="s">
        <v>81</v>
      </c>
      <c r="F37" t="s">
        <v>26</v>
      </c>
      <c r="G37">
        <v>9</v>
      </c>
      <c r="H37" s="3">
        <v>6500</v>
      </c>
      <c r="I37" s="3">
        <v>58500</v>
      </c>
      <c r="J37" s="3">
        <v>45941.45</v>
      </c>
      <c r="K37" s="3">
        <v>12558.55</v>
      </c>
    </row>
    <row r="38" spans="1:11" x14ac:dyDescent="0.35">
      <c r="A38" t="s">
        <v>82</v>
      </c>
      <c r="B38" s="2">
        <v>45907</v>
      </c>
      <c r="C38" t="s">
        <v>45</v>
      </c>
      <c r="D38" t="s">
        <v>13</v>
      </c>
      <c r="E38" t="s">
        <v>14</v>
      </c>
      <c r="F38" t="s">
        <v>66</v>
      </c>
      <c r="G38">
        <v>1</v>
      </c>
      <c r="H38" s="3">
        <v>2500</v>
      </c>
      <c r="I38" s="3">
        <v>2500</v>
      </c>
      <c r="J38" s="3">
        <v>1905.43</v>
      </c>
      <c r="K38" s="3">
        <v>594.57000000000005</v>
      </c>
    </row>
    <row r="39" spans="1:11" x14ac:dyDescent="0.35">
      <c r="A39" t="s">
        <v>83</v>
      </c>
      <c r="B39" s="2">
        <v>45935</v>
      </c>
      <c r="C39" t="s">
        <v>12</v>
      </c>
      <c r="D39" t="s">
        <v>17</v>
      </c>
      <c r="E39" t="s">
        <v>33</v>
      </c>
      <c r="F39" t="s">
        <v>19</v>
      </c>
      <c r="G39">
        <v>1</v>
      </c>
      <c r="H39" s="3">
        <v>250</v>
      </c>
      <c r="I39" s="3">
        <v>250</v>
      </c>
      <c r="J39" s="3">
        <v>190.89</v>
      </c>
      <c r="K39" s="3">
        <v>59.11</v>
      </c>
    </row>
    <row r="40" spans="1:11" x14ac:dyDescent="0.35">
      <c r="A40" t="s">
        <v>84</v>
      </c>
      <c r="B40" s="2">
        <v>45915</v>
      </c>
      <c r="C40" t="s">
        <v>45</v>
      </c>
      <c r="D40" t="s">
        <v>13</v>
      </c>
      <c r="E40" t="s">
        <v>28</v>
      </c>
      <c r="F40" t="s">
        <v>85</v>
      </c>
      <c r="G40">
        <v>2</v>
      </c>
      <c r="H40" s="3">
        <v>65000</v>
      </c>
      <c r="I40" s="3">
        <v>130000</v>
      </c>
      <c r="J40" s="3">
        <v>99659.28</v>
      </c>
      <c r="K40" s="3">
        <v>30340.720000000001</v>
      </c>
    </row>
    <row r="41" spans="1:11" x14ac:dyDescent="0.35">
      <c r="A41" t="s">
        <v>86</v>
      </c>
      <c r="B41" s="2">
        <v>46003</v>
      </c>
      <c r="C41" t="s">
        <v>45</v>
      </c>
      <c r="D41" t="s">
        <v>39</v>
      </c>
      <c r="E41" t="s">
        <v>87</v>
      </c>
      <c r="F41" t="s">
        <v>51</v>
      </c>
      <c r="G41">
        <v>4</v>
      </c>
      <c r="H41" s="3">
        <v>8500</v>
      </c>
      <c r="I41" s="3">
        <v>34000</v>
      </c>
      <c r="J41" s="3">
        <v>25911.31</v>
      </c>
      <c r="K41" s="3">
        <v>8088.69</v>
      </c>
    </row>
    <row r="42" spans="1:11" x14ac:dyDescent="0.35">
      <c r="A42" t="s">
        <v>88</v>
      </c>
      <c r="B42" s="2">
        <v>45678</v>
      </c>
      <c r="C42" t="s">
        <v>12</v>
      </c>
      <c r="D42" t="s">
        <v>39</v>
      </c>
      <c r="E42" t="s">
        <v>81</v>
      </c>
      <c r="F42" t="s">
        <v>46</v>
      </c>
      <c r="G42">
        <v>4</v>
      </c>
      <c r="H42" s="3">
        <v>6500</v>
      </c>
      <c r="I42" s="3">
        <v>26000</v>
      </c>
      <c r="J42" s="3">
        <v>20475.61</v>
      </c>
      <c r="K42" s="3">
        <v>5524.39</v>
      </c>
    </row>
    <row r="43" spans="1:11" x14ac:dyDescent="0.35">
      <c r="A43" t="s">
        <v>89</v>
      </c>
      <c r="B43" s="2">
        <v>45818</v>
      </c>
      <c r="C43" t="s">
        <v>45</v>
      </c>
      <c r="D43" t="s">
        <v>39</v>
      </c>
      <c r="E43" t="s">
        <v>40</v>
      </c>
      <c r="F43" t="s">
        <v>60</v>
      </c>
      <c r="G43">
        <v>5</v>
      </c>
      <c r="H43" s="3">
        <v>9000</v>
      </c>
      <c r="I43" s="3">
        <v>45000</v>
      </c>
      <c r="J43" s="3">
        <v>32761.03</v>
      </c>
      <c r="K43" s="3">
        <v>12238.97</v>
      </c>
    </row>
    <row r="44" spans="1:11" x14ac:dyDescent="0.35">
      <c r="A44" t="s">
        <v>90</v>
      </c>
      <c r="B44" s="2">
        <v>45695</v>
      </c>
      <c r="C44" t="s">
        <v>12</v>
      </c>
      <c r="D44" t="s">
        <v>39</v>
      </c>
      <c r="E44" t="s">
        <v>87</v>
      </c>
      <c r="F44" t="s">
        <v>78</v>
      </c>
      <c r="G44">
        <v>9</v>
      </c>
      <c r="H44" s="3">
        <v>8500</v>
      </c>
      <c r="I44" s="3">
        <v>76500</v>
      </c>
      <c r="J44" s="3">
        <v>50465.77</v>
      </c>
      <c r="K44" s="3">
        <v>26034.23</v>
      </c>
    </row>
    <row r="45" spans="1:11" x14ac:dyDescent="0.35">
      <c r="A45" t="s">
        <v>91</v>
      </c>
      <c r="B45" s="2">
        <v>45793</v>
      </c>
      <c r="C45" t="s">
        <v>45</v>
      </c>
      <c r="D45" t="s">
        <v>39</v>
      </c>
      <c r="E45" t="s">
        <v>87</v>
      </c>
      <c r="F45" t="s">
        <v>15</v>
      </c>
      <c r="G45">
        <v>6</v>
      </c>
      <c r="H45" s="3">
        <v>8500</v>
      </c>
      <c r="I45" s="3">
        <v>51000</v>
      </c>
      <c r="J45" s="3">
        <v>34669.620000000003</v>
      </c>
      <c r="K45" s="3">
        <v>16330.38</v>
      </c>
    </row>
    <row r="46" spans="1:11" x14ac:dyDescent="0.35">
      <c r="A46" t="s">
        <v>92</v>
      </c>
      <c r="B46" s="2">
        <v>45882</v>
      </c>
      <c r="C46" t="s">
        <v>24</v>
      </c>
      <c r="D46" t="s">
        <v>17</v>
      </c>
      <c r="E46" t="s">
        <v>43</v>
      </c>
      <c r="F46" t="s">
        <v>22</v>
      </c>
      <c r="G46">
        <v>5</v>
      </c>
      <c r="H46" s="3">
        <v>450</v>
      </c>
      <c r="I46" s="3">
        <v>2250</v>
      </c>
      <c r="J46" s="3">
        <v>1937.01</v>
      </c>
      <c r="K46" s="3">
        <v>312.99</v>
      </c>
    </row>
    <row r="47" spans="1:11" x14ac:dyDescent="0.35">
      <c r="A47" t="s">
        <v>93</v>
      </c>
      <c r="B47" s="2">
        <v>45711</v>
      </c>
      <c r="C47" t="s">
        <v>45</v>
      </c>
      <c r="D47" t="s">
        <v>39</v>
      </c>
      <c r="E47" t="s">
        <v>87</v>
      </c>
      <c r="F47" t="s">
        <v>57</v>
      </c>
      <c r="G47">
        <v>9</v>
      </c>
      <c r="H47" s="3">
        <v>8500</v>
      </c>
      <c r="I47" s="3">
        <v>76500</v>
      </c>
      <c r="J47" s="3">
        <v>49229.69</v>
      </c>
      <c r="K47" s="3">
        <v>27270.31</v>
      </c>
    </row>
    <row r="48" spans="1:11" x14ac:dyDescent="0.35">
      <c r="A48" t="s">
        <v>94</v>
      </c>
      <c r="B48" s="2">
        <v>45802</v>
      </c>
      <c r="C48" t="s">
        <v>45</v>
      </c>
      <c r="D48" t="s">
        <v>17</v>
      </c>
      <c r="E48" t="s">
        <v>33</v>
      </c>
      <c r="F48" t="s">
        <v>66</v>
      </c>
      <c r="G48">
        <v>5</v>
      </c>
      <c r="H48" s="3">
        <v>250</v>
      </c>
      <c r="I48" s="3">
        <v>1250</v>
      </c>
      <c r="J48" s="3">
        <v>926.89</v>
      </c>
      <c r="K48" s="3">
        <v>323.11</v>
      </c>
    </row>
    <row r="49" spans="1:11" x14ac:dyDescent="0.35">
      <c r="A49" t="s">
        <v>95</v>
      </c>
      <c r="B49" s="2">
        <v>45786</v>
      </c>
      <c r="C49" t="s">
        <v>12</v>
      </c>
      <c r="D49" t="s">
        <v>13</v>
      </c>
      <c r="E49" t="s">
        <v>31</v>
      </c>
      <c r="F49" t="s">
        <v>46</v>
      </c>
      <c r="G49">
        <v>1</v>
      </c>
      <c r="H49" s="3">
        <v>1200</v>
      </c>
      <c r="I49" s="3">
        <v>1200</v>
      </c>
      <c r="J49" s="3">
        <v>721.19</v>
      </c>
      <c r="K49" s="3">
        <v>478.81</v>
      </c>
    </row>
    <row r="50" spans="1:11" x14ac:dyDescent="0.35">
      <c r="A50" t="s">
        <v>96</v>
      </c>
      <c r="B50" s="2">
        <v>45724</v>
      </c>
      <c r="C50" t="s">
        <v>24</v>
      </c>
      <c r="D50" t="s">
        <v>13</v>
      </c>
      <c r="E50" t="s">
        <v>31</v>
      </c>
      <c r="F50" t="s">
        <v>22</v>
      </c>
      <c r="G50">
        <v>7</v>
      </c>
      <c r="H50" s="3">
        <v>1200</v>
      </c>
      <c r="I50" s="3">
        <v>8400</v>
      </c>
      <c r="J50" s="3">
        <v>6359.25</v>
      </c>
      <c r="K50" s="3">
        <v>2040.75</v>
      </c>
    </row>
    <row r="51" spans="1:11" x14ac:dyDescent="0.35">
      <c r="A51" t="s">
        <v>97</v>
      </c>
      <c r="B51" s="2">
        <v>45715</v>
      </c>
      <c r="C51" t="s">
        <v>12</v>
      </c>
      <c r="D51" t="s">
        <v>17</v>
      </c>
      <c r="E51" t="s">
        <v>21</v>
      </c>
      <c r="F51" t="s">
        <v>22</v>
      </c>
      <c r="G51">
        <v>1</v>
      </c>
      <c r="H51" s="3">
        <v>180</v>
      </c>
      <c r="I51" s="3">
        <v>180</v>
      </c>
      <c r="J51" s="3">
        <v>150.06</v>
      </c>
      <c r="K51" s="3">
        <v>29.94</v>
      </c>
    </row>
    <row r="52" spans="1:11" x14ac:dyDescent="0.35">
      <c r="A52" t="s">
        <v>98</v>
      </c>
      <c r="B52" s="2">
        <v>45956</v>
      </c>
      <c r="C52" t="s">
        <v>45</v>
      </c>
      <c r="D52" t="s">
        <v>39</v>
      </c>
      <c r="E52" t="s">
        <v>99</v>
      </c>
      <c r="F52" t="s">
        <v>19</v>
      </c>
      <c r="G52">
        <v>5</v>
      </c>
      <c r="H52" s="3">
        <v>12000</v>
      </c>
      <c r="I52" s="3">
        <v>60000</v>
      </c>
      <c r="J52" s="3">
        <v>42126.15</v>
      </c>
      <c r="K52" s="3">
        <v>17873.849999999999</v>
      </c>
    </row>
    <row r="53" spans="1:11" x14ac:dyDescent="0.35">
      <c r="A53" t="s">
        <v>100</v>
      </c>
      <c r="B53" s="2">
        <v>45678</v>
      </c>
      <c r="C53" t="s">
        <v>24</v>
      </c>
      <c r="D53" t="s">
        <v>13</v>
      </c>
      <c r="E53" t="s">
        <v>25</v>
      </c>
      <c r="F53" t="s">
        <v>57</v>
      </c>
      <c r="G53">
        <v>6</v>
      </c>
      <c r="H53" s="3">
        <v>18000</v>
      </c>
      <c r="I53" s="3">
        <v>108000</v>
      </c>
      <c r="J53" s="3">
        <v>88390.720000000001</v>
      </c>
      <c r="K53" s="3">
        <v>19609.28</v>
      </c>
    </row>
    <row r="54" spans="1:11" x14ac:dyDescent="0.35">
      <c r="A54" t="s">
        <v>101</v>
      </c>
      <c r="B54" s="2">
        <v>45866</v>
      </c>
      <c r="C54" t="s">
        <v>45</v>
      </c>
      <c r="D54" t="s">
        <v>13</v>
      </c>
      <c r="E54" t="s">
        <v>25</v>
      </c>
      <c r="F54" t="s">
        <v>85</v>
      </c>
      <c r="G54">
        <v>7</v>
      </c>
      <c r="H54" s="3">
        <v>18000</v>
      </c>
      <c r="I54" s="3">
        <v>126000</v>
      </c>
      <c r="J54" s="3">
        <v>76474.460000000006</v>
      </c>
      <c r="K54" s="3">
        <v>49525.54</v>
      </c>
    </row>
    <row r="55" spans="1:11" x14ac:dyDescent="0.35">
      <c r="A55" t="s">
        <v>102</v>
      </c>
      <c r="B55" s="2">
        <v>45828</v>
      </c>
      <c r="C55" t="s">
        <v>38</v>
      </c>
      <c r="D55" t="s">
        <v>17</v>
      </c>
      <c r="E55" t="s">
        <v>21</v>
      </c>
      <c r="F55" t="s">
        <v>46</v>
      </c>
      <c r="G55">
        <v>3</v>
      </c>
      <c r="H55" s="3">
        <v>180</v>
      </c>
      <c r="I55" s="3">
        <v>540</v>
      </c>
      <c r="J55" s="3">
        <v>443.05</v>
      </c>
      <c r="K55" s="3">
        <v>96.95</v>
      </c>
    </row>
    <row r="56" spans="1:11" x14ac:dyDescent="0.35">
      <c r="A56" t="s">
        <v>103</v>
      </c>
      <c r="B56" s="2">
        <v>45713</v>
      </c>
      <c r="C56" t="s">
        <v>38</v>
      </c>
      <c r="D56" t="s">
        <v>13</v>
      </c>
      <c r="E56" t="s">
        <v>31</v>
      </c>
      <c r="F56" t="s">
        <v>15</v>
      </c>
      <c r="G56">
        <v>4</v>
      </c>
      <c r="H56" s="3">
        <v>1200</v>
      </c>
      <c r="I56" s="3">
        <v>4800</v>
      </c>
      <c r="J56" s="3">
        <v>3977.49</v>
      </c>
      <c r="K56" s="3">
        <v>822.51</v>
      </c>
    </row>
    <row r="57" spans="1:11" x14ac:dyDescent="0.35">
      <c r="A57" t="s">
        <v>104</v>
      </c>
      <c r="B57" s="2">
        <v>45893</v>
      </c>
      <c r="C57" t="s">
        <v>24</v>
      </c>
      <c r="D57" t="s">
        <v>39</v>
      </c>
      <c r="E57" t="s">
        <v>99</v>
      </c>
      <c r="F57" t="s">
        <v>15</v>
      </c>
      <c r="G57">
        <v>1</v>
      </c>
      <c r="H57" s="3">
        <v>12000</v>
      </c>
      <c r="I57" s="3">
        <v>12000</v>
      </c>
      <c r="J57" s="3">
        <v>9417.7099999999991</v>
      </c>
      <c r="K57" s="3">
        <v>2582.29</v>
      </c>
    </row>
    <row r="58" spans="1:11" x14ac:dyDescent="0.35">
      <c r="A58" t="s">
        <v>105</v>
      </c>
      <c r="B58" s="2">
        <v>45862</v>
      </c>
      <c r="C58" t="s">
        <v>24</v>
      </c>
      <c r="D58" t="s">
        <v>39</v>
      </c>
      <c r="E58" t="s">
        <v>87</v>
      </c>
      <c r="F58" t="s">
        <v>46</v>
      </c>
      <c r="G58">
        <v>6</v>
      </c>
      <c r="H58" s="3">
        <v>8500</v>
      </c>
      <c r="I58" s="3">
        <v>51000</v>
      </c>
      <c r="J58" s="3">
        <v>39760.36</v>
      </c>
      <c r="K58" s="3">
        <v>11239.64</v>
      </c>
    </row>
    <row r="59" spans="1:11" x14ac:dyDescent="0.35">
      <c r="A59" t="s">
        <v>106</v>
      </c>
      <c r="B59" s="2">
        <v>45862</v>
      </c>
      <c r="C59" t="s">
        <v>24</v>
      </c>
      <c r="D59" t="s">
        <v>13</v>
      </c>
      <c r="E59" t="s">
        <v>28</v>
      </c>
      <c r="F59" t="s">
        <v>46</v>
      </c>
      <c r="G59">
        <v>3</v>
      </c>
      <c r="H59" s="3">
        <v>65000</v>
      </c>
      <c r="I59" s="3">
        <v>195000</v>
      </c>
      <c r="J59" s="3">
        <v>148700.20000000001</v>
      </c>
      <c r="K59" s="3">
        <v>46299.8</v>
      </c>
    </row>
    <row r="60" spans="1:11" x14ac:dyDescent="0.35">
      <c r="A60" t="s">
        <v>107</v>
      </c>
      <c r="B60" s="2">
        <v>45793</v>
      </c>
      <c r="C60" t="s">
        <v>12</v>
      </c>
      <c r="D60" t="s">
        <v>13</v>
      </c>
      <c r="E60" t="s">
        <v>31</v>
      </c>
      <c r="F60" t="s">
        <v>41</v>
      </c>
      <c r="G60">
        <v>6</v>
      </c>
      <c r="H60" s="3">
        <v>1200</v>
      </c>
      <c r="I60" s="3">
        <v>7200</v>
      </c>
      <c r="J60" s="3">
        <v>5199.7700000000004</v>
      </c>
      <c r="K60" s="3">
        <v>2000.23</v>
      </c>
    </row>
    <row r="61" spans="1:11" x14ac:dyDescent="0.35">
      <c r="A61" t="s">
        <v>108</v>
      </c>
      <c r="B61" s="2">
        <v>45919</v>
      </c>
      <c r="C61" t="s">
        <v>12</v>
      </c>
      <c r="D61" t="s">
        <v>39</v>
      </c>
      <c r="E61" t="s">
        <v>99</v>
      </c>
      <c r="F61" t="s">
        <v>46</v>
      </c>
      <c r="G61">
        <v>1</v>
      </c>
      <c r="H61" s="3">
        <v>12000</v>
      </c>
      <c r="I61" s="3">
        <v>12000</v>
      </c>
      <c r="J61" s="3">
        <v>9581.52</v>
      </c>
      <c r="K61" s="3">
        <v>2418.48</v>
      </c>
    </row>
    <row r="62" spans="1:11" x14ac:dyDescent="0.35">
      <c r="A62" t="s">
        <v>109</v>
      </c>
      <c r="B62" s="2">
        <v>45658</v>
      </c>
      <c r="C62" t="s">
        <v>45</v>
      </c>
      <c r="D62" t="s">
        <v>39</v>
      </c>
      <c r="E62" t="s">
        <v>40</v>
      </c>
      <c r="F62" t="s">
        <v>78</v>
      </c>
      <c r="G62">
        <v>6</v>
      </c>
      <c r="H62" s="3">
        <v>9000</v>
      </c>
      <c r="I62" s="3">
        <v>54000</v>
      </c>
      <c r="J62" s="3">
        <v>41822.11</v>
      </c>
      <c r="K62" s="3">
        <v>12177.89</v>
      </c>
    </row>
    <row r="63" spans="1:11" x14ac:dyDescent="0.35">
      <c r="A63" t="s">
        <v>110</v>
      </c>
      <c r="B63" s="2">
        <v>45997</v>
      </c>
      <c r="C63" t="s">
        <v>12</v>
      </c>
      <c r="D63" t="s">
        <v>17</v>
      </c>
      <c r="E63" t="s">
        <v>33</v>
      </c>
      <c r="F63" t="s">
        <v>53</v>
      </c>
      <c r="G63">
        <v>5</v>
      </c>
      <c r="H63" s="3">
        <v>250</v>
      </c>
      <c r="I63" s="3">
        <v>1250</v>
      </c>
      <c r="J63" s="3">
        <v>983.41</v>
      </c>
      <c r="K63" s="3">
        <v>266.58999999999997</v>
      </c>
    </row>
    <row r="64" spans="1:11" x14ac:dyDescent="0.35">
      <c r="A64" t="s">
        <v>111</v>
      </c>
      <c r="B64" s="2">
        <v>45825</v>
      </c>
      <c r="C64" t="s">
        <v>38</v>
      </c>
      <c r="D64" t="s">
        <v>17</v>
      </c>
      <c r="E64" t="s">
        <v>33</v>
      </c>
      <c r="F64" t="s">
        <v>22</v>
      </c>
      <c r="G64">
        <v>3</v>
      </c>
      <c r="H64" s="3">
        <v>250</v>
      </c>
      <c r="I64" s="3">
        <v>750</v>
      </c>
      <c r="J64" s="3">
        <v>490.29</v>
      </c>
      <c r="K64" s="3">
        <v>259.70999999999998</v>
      </c>
    </row>
    <row r="65" spans="1:11" x14ac:dyDescent="0.35">
      <c r="A65" t="s">
        <v>112</v>
      </c>
      <c r="B65" s="2">
        <v>45998</v>
      </c>
      <c r="C65" t="s">
        <v>38</v>
      </c>
      <c r="D65" t="s">
        <v>17</v>
      </c>
      <c r="E65" t="s">
        <v>21</v>
      </c>
      <c r="F65" t="s">
        <v>34</v>
      </c>
      <c r="G65">
        <v>10</v>
      </c>
      <c r="H65" s="3">
        <v>180</v>
      </c>
      <c r="I65" s="3">
        <v>1800</v>
      </c>
      <c r="J65" s="3">
        <v>1231.68</v>
      </c>
      <c r="K65" s="3">
        <v>568.32000000000005</v>
      </c>
    </row>
    <row r="66" spans="1:11" x14ac:dyDescent="0.35">
      <c r="A66" t="s">
        <v>113</v>
      </c>
      <c r="B66" s="2">
        <v>45938</v>
      </c>
      <c r="C66" t="s">
        <v>12</v>
      </c>
      <c r="D66" t="s">
        <v>39</v>
      </c>
      <c r="E66" t="s">
        <v>81</v>
      </c>
      <c r="F66" t="s">
        <v>66</v>
      </c>
      <c r="G66">
        <v>7</v>
      </c>
      <c r="H66" s="3">
        <v>6500</v>
      </c>
      <c r="I66" s="3">
        <v>45500</v>
      </c>
      <c r="J66" s="3">
        <v>37310.57</v>
      </c>
      <c r="K66" s="3">
        <v>8189.43</v>
      </c>
    </row>
    <row r="67" spans="1:11" x14ac:dyDescent="0.35">
      <c r="A67" t="s">
        <v>114</v>
      </c>
      <c r="B67" s="2">
        <v>45968</v>
      </c>
      <c r="C67" t="s">
        <v>24</v>
      </c>
      <c r="D67" t="s">
        <v>39</v>
      </c>
      <c r="E67" t="s">
        <v>40</v>
      </c>
      <c r="F67" t="s">
        <v>115</v>
      </c>
      <c r="G67">
        <v>4</v>
      </c>
      <c r="H67" s="3">
        <v>9000</v>
      </c>
      <c r="I67" s="3">
        <v>36000</v>
      </c>
      <c r="J67" s="3">
        <v>26752.63</v>
      </c>
      <c r="K67" s="3">
        <v>9247.3700000000008</v>
      </c>
    </row>
    <row r="68" spans="1:11" x14ac:dyDescent="0.35">
      <c r="A68" t="s">
        <v>116</v>
      </c>
      <c r="B68" s="2">
        <v>45744</v>
      </c>
      <c r="C68" t="s">
        <v>12</v>
      </c>
      <c r="D68" t="s">
        <v>39</v>
      </c>
      <c r="E68" t="s">
        <v>81</v>
      </c>
      <c r="F68" t="s">
        <v>78</v>
      </c>
      <c r="G68">
        <v>4</v>
      </c>
      <c r="H68" s="3">
        <v>6500</v>
      </c>
      <c r="I68" s="3">
        <v>26000</v>
      </c>
      <c r="J68" s="3">
        <v>20497.95</v>
      </c>
      <c r="K68" s="3">
        <v>5502.05</v>
      </c>
    </row>
    <row r="69" spans="1:11" x14ac:dyDescent="0.35">
      <c r="A69" t="s">
        <v>117</v>
      </c>
      <c r="B69" s="2">
        <v>45773</v>
      </c>
      <c r="C69" t="s">
        <v>45</v>
      </c>
      <c r="D69" t="s">
        <v>13</v>
      </c>
      <c r="E69" t="s">
        <v>28</v>
      </c>
      <c r="F69" t="s">
        <v>19</v>
      </c>
      <c r="G69">
        <v>4</v>
      </c>
      <c r="H69" s="3">
        <v>65000</v>
      </c>
      <c r="I69" s="3">
        <v>260000</v>
      </c>
      <c r="J69" s="3">
        <v>227630.54</v>
      </c>
      <c r="K69" s="3">
        <v>32369.46</v>
      </c>
    </row>
    <row r="70" spans="1:11" x14ac:dyDescent="0.35">
      <c r="A70" t="s">
        <v>118</v>
      </c>
      <c r="B70" s="2">
        <v>45970</v>
      </c>
      <c r="C70" t="s">
        <v>12</v>
      </c>
      <c r="D70" t="s">
        <v>39</v>
      </c>
      <c r="E70" t="s">
        <v>40</v>
      </c>
      <c r="F70" t="s">
        <v>51</v>
      </c>
      <c r="G70">
        <v>4</v>
      </c>
      <c r="H70" s="3">
        <v>9000</v>
      </c>
      <c r="I70" s="3">
        <v>36000</v>
      </c>
      <c r="J70" s="3">
        <v>28840.93</v>
      </c>
      <c r="K70" s="3">
        <v>7159.07</v>
      </c>
    </row>
    <row r="71" spans="1:11" x14ac:dyDescent="0.35">
      <c r="A71" t="s">
        <v>119</v>
      </c>
      <c r="B71" s="2">
        <v>45854</v>
      </c>
      <c r="C71" t="s">
        <v>38</v>
      </c>
      <c r="D71" t="s">
        <v>39</v>
      </c>
      <c r="E71" t="s">
        <v>99</v>
      </c>
      <c r="F71" t="s">
        <v>60</v>
      </c>
      <c r="G71">
        <v>1</v>
      </c>
      <c r="H71" s="3">
        <v>12000</v>
      </c>
      <c r="I71" s="3">
        <v>12000</v>
      </c>
      <c r="J71" s="3">
        <v>10199.34</v>
      </c>
      <c r="K71" s="3">
        <v>1800.66</v>
      </c>
    </row>
    <row r="72" spans="1:11" x14ac:dyDescent="0.35">
      <c r="A72" t="s">
        <v>120</v>
      </c>
      <c r="B72" s="2">
        <v>45712</v>
      </c>
      <c r="C72" t="s">
        <v>38</v>
      </c>
      <c r="D72" t="s">
        <v>13</v>
      </c>
      <c r="E72" t="s">
        <v>25</v>
      </c>
      <c r="F72" t="s">
        <v>53</v>
      </c>
      <c r="G72">
        <v>8</v>
      </c>
      <c r="H72" s="3">
        <v>18000</v>
      </c>
      <c r="I72" s="3">
        <v>144000</v>
      </c>
      <c r="J72" s="3">
        <v>88424.81</v>
      </c>
      <c r="K72" s="3">
        <v>55575.19</v>
      </c>
    </row>
    <row r="73" spans="1:11" x14ac:dyDescent="0.35">
      <c r="A73" t="s">
        <v>121</v>
      </c>
      <c r="B73" s="2">
        <v>45785</v>
      </c>
      <c r="C73" t="s">
        <v>12</v>
      </c>
      <c r="D73" t="s">
        <v>39</v>
      </c>
      <c r="E73" t="s">
        <v>99</v>
      </c>
      <c r="F73" t="s">
        <v>115</v>
      </c>
      <c r="G73">
        <v>9</v>
      </c>
      <c r="H73" s="3">
        <v>12000</v>
      </c>
      <c r="I73" s="3">
        <v>108000</v>
      </c>
      <c r="J73" s="3">
        <v>94673.87</v>
      </c>
      <c r="K73" s="3">
        <v>13326.13</v>
      </c>
    </row>
    <row r="74" spans="1:11" x14ac:dyDescent="0.35">
      <c r="A74" t="s">
        <v>122</v>
      </c>
      <c r="B74" s="2">
        <v>45962</v>
      </c>
      <c r="C74" t="s">
        <v>24</v>
      </c>
      <c r="D74" t="s">
        <v>39</v>
      </c>
      <c r="E74" t="s">
        <v>40</v>
      </c>
      <c r="F74" t="s">
        <v>22</v>
      </c>
      <c r="G74">
        <v>8</v>
      </c>
      <c r="H74" s="3">
        <v>9000</v>
      </c>
      <c r="I74" s="3">
        <v>72000</v>
      </c>
      <c r="J74" s="3">
        <v>61287.72</v>
      </c>
      <c r="K74" s="3">
        <v>10712.28</v>
      </c>
    </row>
    <row r="75" spans="1:11" x14ac:dyDescent="0.35">
      <c r="A75" t="s">
        <v>123</v>
      </c>
      <c r="B75" s="2">
        <v>45901</v>
      </c>
      <c r="C75" t="s">
        <v>38</v>
      </c>
      <c r="D75" t="s">
        <v>39</v>
      </c>
      <c r="E75" t="s">
        <v>99</v>
      </c>
      <c r="F75" t="s">
        <v>46</v>
      </c>
      <c r="G75">
        <v>9</v>
      </c>
      <c r="H75" s="3">
        <v>12000</v>
      </c>
      <c r="I75" s="3">
        <v>108000</v>
      </c>
      <c r="J75" s="3">
        <v>79454.210000000006</v>
      </c>
      <c r="K75" s="3">
        <v>28545.79</v>
      </c>
    </row>
    <row r="76" spans="1:11" x14ac:dyDescent="0.35">
      <c r="A76" t="s">
        <v>124</v>
      </c>
      <c r="B76" s="2">
        <v>45780</v>
      </c>
      <c r="C76" t="s">
        <v>24</v>
      </c>
      <c r="D76" t="s">
        <v>39</v>
      </c>
      <c r="E76" t="s">
        <v>87</v>
      </c>
      <c r="F76" t="s">
        <v>36</v>
      </c>
      <c r="G76">
        <v>4</v>
      </c>
      <c r="H76" s="3">
        <v>8500</v>
      </c>
      <c r="I76" s="3">
        <v>34000</v>
      </c>
      <c r="J76" s="3">
        <v>22986.73</v>
      </c>
      <c r="K76" s="3">
        <v>11013.27</v>
      </c>
    </row>
    <row r="77" spans="1:11" x14ac:dyDescent="0.35">
      <c r="A77" t="s">
        <v>125</v>
      </c>
      <c r="B77" s="2">
        <v>45821</v>
      </c>
      <c r="C77" t="s">
        <v>12</v>
      </c>
      <c r="D77" t="s">
        <v>13</v>
      </c>
      <c r="E77" t="s">
        <v>25</v>
      </c>
      <c r="F77" t="s">
        <v>15</v>
      </c>
      <c r="G77">
        <v>7</v>
      </c>
      <c r="H77" s="3">
        <v>18000</v>
      </c>
      <c r="I77" s="3">
        <v>126000</v>
      </c>
      <c r="J77" s="3">
        <v>100082.55</v>
      </c>
      <c r="K77" s="3">
        <v>25917.45</v>
      </c>
    </row>
    <row r="78" spans="1:11" x14ac:dyDescent="0.35">
      <c r="A78" t="s">
        <v>126</v>
      </c>
      <c r="B78" s="2">
        <v>46019</v>
      </c>
      <c r="C78" t="s">
        <v>45</v>
      </c>
      <c r="D78" t="s">
        <v>13</v>
      </c>
      <c r="E78" t="s">
        <v>31</v>
      </c>
      <c r="F78" t="s">
        <v>26</v>
      </c>
      <c r="G78">
        <v>6</v>
      </c>
      <c r="H78" s="3">
        <v>1200</v>
      </c>
      <c r="I78" s="3">
        <v>7200</v>
      </c>
      <c r="J78" s="3">
        <v>5413.9</v>
      </c>
      <c r="K78" s="3">
        <v>1786.1</v>
      </c>
    </row>
    <row r="79" spans="1:11" x14ac:dyDescent="0.35">
      <c r="A79" t="s">
        <v>127</v>
      </c>
      <c r="B79" s="2">
        <v>45870</v>
      </c>
      <c r="C79" t="s">
        <v>12</v>
      </c>
      <c r="D79" t="s">
        <v>13</v>
      </c>
      <c r="E79" t="s">
        <v>31</v>
      </c>
      <c r="F79" t="s">
        <v>29</v>
      </c>
      <c r="G79">
        <v>10</v>
      </c>
      <c r="H79" s="3">
        <v>1200</v>
      </c>
      <c r="I79" s="3">
        <v>12000</v>
      </c>
      <c r="J79" s="3">
        <v>10378.77</v>
      </c>
      <c r="K79" s="3">
        <v>1621.23</v>
      </c>
    </row>
    <row r="80" spans="1:11" x14ac:dyDescent="0.35">
      <c r="A80" t="s">
        <v>128</v>
      </c>
      <c r="B80" s="2">
        <v>45668</v>
      </c>
      <c r="C80" t="s">
        <v>38</v>
      </c>
      <c r="D80" t="s">
        <v>39</v>
      </c>
      <c r="E80" t="s">
        <v>87</v>
      </c>
      <c r="F80" t="s">
        <v>41</v>
      </c>
      <c r="G80">
        <v>5</v>
      </c>
      <c r="H80" s="3">
        <v>8500</v>
      </c>
      <c r="I80" s="3">
        <v>42500</v>
      </c>
      <c r="J80" s="3">
        <v>34466.35</v>
      </c>
      <c r="K80" s="3">
        <v>8033.65</v>
      </c>
    </row>
    <row r="81" spans="1:11" x14ac:dyDescent="0.35">
      <c r="A81" t="s">
        <v>129</v>
      </c>
      <c r="B81" s="2">
        <v>45872</v>
      </c>
      <c r="C81" t="s">
        <v>45</v>
      </c>
      <c r="D81" t="s">
        <v>39</v>
      </c>
      <c r="E81" t="s">
        <v>99</v>
      </c>
      <c r="F81" t="s">
        <v>46</v>
      </c>
      <c r="G81">
        <v>7</v>
      </c>
      <c r="H81" s="3">
        <v>12000</v>
      </c>
      <c r="I81" s="3">
        <v>84000</v>
      </c>
      <c r="J81" s="3">
        <v>61822.3</v>
      </c>
      <c r="K81" s="3">
        <v>22177.7</v>
      </c>
    </row>
    <row r="82" spans="1:11" x14ac:dyDescent="0.35">
      <c r="A82" t="s">
        <v>130</v>
      </c>
      <c r="B82" s="2">
        <v>45857</v>
      </c>
      <c r="C82" t="s">
        <v>24</v>
      </c>
      <c r="D82" t="s">
        <v>17</v>
      </c>
      <c r="E82" t="s">
        <v>18</v>
      </c>
      <c r="F82" t="s">
        <v>85</v>
      </c>
      <c r="G82">
        <v>8</v>
      </c>
      <c r="H82" s="3">
        <v>300</v>
      </c>
      <c r="I82" s="3">
        <v>2400</v>
      </c>
      <c r="J82" s="3">
        <v>2057.9299999999998</v>
      </c>
      <c r="K82" s="3">
        <v>342.07</v>
      </c>
    </row>
    <row r="83" spans="1:11" x14ac:dyDescent="0.35">
      <c r="A83" t="s">
        <v>131</v>
      </c>
      <c r="B83" s="2">
        <v>45976</v>
      </c>
      <c r="C83" t="s">
        <v>12</v>
      </c>
      <c r="D83" t="s">
        <v>39</v>
      </c>
      <c r="E83" t="s">
        <v>87</v>
      </c>
      <c r="F83" t="s">
        <v>78</v>
      </c>
      <c r="G83">
        <v>7</v>
      </c>
      <c r="H83" s="3">
        <v>8500</v>
      </c>
      <c r="I83" s="3">
        <v>59500</v>
      </c>
      <c r="J83" s="3">
        <v>37960.75</v>
      </c>
      <c r="K83" s="3">
        <v>21539.25</v>
      </c>
    </row>
    <row r="84" spans="1:11" x14ac:dyDescent="0.35">
      <c r="A84" t="s">
        <v>132</v>
      </c>
      <c r="B84" s="2">
        <v>45894</v>
      </c>
      <c r="C84" t="s">
        <v>45</v>
      </c>
      <c r="D84" t="s">
        <v>13</v>
      </c>
      <c r="E84" t="s">
        <v>14</v>
      </c>
      <c r="F84" t="s">
        <v>29</v>
      </c>
      <c r="G84">
        <v>6</v>
      </c>
      <c r="H84" s="3">
        <v>2500</v>
      </c>
      <c r="I84" s="3">
        <v>15000</v>
      </c>
      <c r="J84" s="3">
        <v>9888.9699999999993</v>
      </c>
      <c r="K84" s="3">
        <v>5111.03</v>
      </c>
    </row>
    <row r="85" spans="1:11" x14ac:dyDescent="0.35">
      <c r="A85" t="s">
        <v>133</v>
      </c>
      <c r="B85" s="2">
        <v>45825</v>
      </c>
      <c r="C85" t="s">
        <v>24</v>
      </c>
      <c r="D85" t="s">
        <v>39</v>
      </c>
      <c r="E85" t="s">
        <v>81</v>
      </c>
      <c r="F85" t="s">
        <v>26</v>
      </c>
      <c r="G85">
        <v>5</v>
      </c>
      <c r="H85" s="3">
        <v>6500</v>
      </c>
      <c r="I85" s="3">
        <v>32500</v>
      </c>
      <c r="J85" s="3">
        <v>27097.69</v>
      </c>
      <c r="K85" s="3">
        <v>5402.31</v>
      </c>
    </row>
    <row r="86" spans="1:11" x14ac:dyDescent="0.35">
      <c r="A86" t="s">
        <v>134</v>
      </c>
      <c r="B86" s="2">
        <v>45898</v>
      </c>
      <c r="C86" t="s">
        <v>12</v>
      </c>
      <c r="D86" t="s">
        <v>17</v>
      </c>
      <c r="E86" t="s">
        <v>43</v>
      </c>
      <c r="F86" t="s">
        <v>41</v>
      </c>
      <c r="G86">
        <v>4</v>
      </c>
      <c r="H86" s="3">
        <v>450</v>
      </c>
      <c r="I86" s="3">
        <v>1800</v>
      </c>
      <c r="J86" s="3">
        <v>1407.67</v>
      </c>
      <c r="K86" s="3">
        <v>392.33</v>
      </c>
    </row>
    <row r="87" spans="1:11" x14ac:dyDescent="0.35">
      <c r="A87" t="s">
        <v>135</v>
      </c>
      <c r="B87" s="2">
        <v>45991</v>
      </c>
      <c r="C87" t="s">
        <v>12</v>
      </c>
      <c r="D87" t="s">
        <v>13</v>
      </c>
      <c r="E87" t="s">
        <v>25</v>
      </c>
      <c r="F87" t="s">
        <v>66</v>
      </c>
      <c r="G87">
        <v>1</v>
      </c>
      <c r="H87" s="3">
        <v>18000</v>
      </c>
      <c r="I87" s="3">
        <v>18000</v>
      </c>
      <c r="J87" s="3">
        <v>13931.53</v>
      </c>
      <c r="K87" s="3">
        <v>4068.47</v>
      </c>
    </row>
    <row r="88" spans="1:11" x14ac:dyDescent="0.35">
      <c r="A88" t="s">
        <v>136</v>
      </c>
      <c r="B88" s="2">
        <v>45780</v>
      </c>
      <c r="C88" t="s">
        <v>45</v>
      </c>
      <c r="D88" t="s">
        <v>39</v>
      </c>
      <c r="E88" t="s">
        <v>87</v>
      </c>
      <c r="F88" t="s">
        <v>51</v>
      </c>
      <c r="G88">
        <v>4</v>
      </c>
      <c r="H88" s="3">
        <v>8500</v>
      </c>
      <c r="I88" s="3">
        <v>34000</v>
      </c>
      <c r="J88" s="3">
        <v>24827.119999999999</v>
      </c>
      <c r="K88" s="3">
        <v>9172.8799999999992</v>
      </c>
    </row>
    <row r="89" spans="1:11" x14ac:dyDescent="0.35">
      <c r="A89" t="s">
        <v>137</v>
      </c>
      <c r="B89" s="2">
        <v>45789</v>
      </c>
      <c r="C89" t="s">
        <v>24</v>
      </c>
      <c r="D89" t="s">
        <v>13</v>
      </c>
      <c r="E89" t="s">
        <v>28</v>
      </c>
      <c r="F89" t="s">
        <v>85</v>
      </c>
      <c r="G89">
        <v>5</v>
      </c>
      <c r="H89" s="3">
        <v>65000</v>
      </c>
      <c r="I89" s="3">
        <v>325000</v>
      </c>
      <c r="J89" s="3">
        <v>204836.99</v>
      </c>
      <c r="K89" s="3">
        <v>120163.01</v>
      </c>
    </row>
    <row r="90" spans="1:11" x14ac:dyDescent="0.35">
      <c r="A90" t="s">
        <v>138</v>
      </c>
      <c r="B90" s="2">
        <v>45671</v>
      </c>
      <c r="C90" t="s">
        <v>24</v>
      </c>
      <c r="D90" t="s">
        <v>17</v>
      </c>
      <c r="E90" t="s">
        <v>18</v>
      </c>
      <c r="F90" t="s">
        <v>29</v>
      </c>
      <c r="G90">
        <v>4</v>
      </c>
      <c r="H90" s="3">
        <v>300</v>
      </c>
      <c r="I90" s="3">
        <v>1200</v>
      </c>
      <c r="J90" s="3">
        <v>745.53</v>
      </c>
      <c r="K90" s="3">
        <v>454.47</v>
      </c>
    </row>
    <row r="91" spans="1:11" x14ac:dyDescent="0.35">
      <c r="A91" t="s">
        <v>139</v>
      </c>
      <c r="B91" s="2">
        <v>46011</v>
      </c>
      <c r="C91" t="s">
        <v>45</v>
      </c>
      <c r="D91" t="s">
        <v>13</v>
      </c>
      <c r="E91" t="s">
        <v>14</v>
      </c>
      <c r="F91" t="s">
        <v>34</v>
      </c>
      <c r="G91">
        <v>2</v>
      </c>
      <c r="H91" s="3">
        <v>2500</v>
      </c>
      <c r="I91" s="3">
        <v>5000</v>
      </c>
      <c r="J91" s="3">
        <v>4114.72</v>
      </c>
      <c r="K91" s="3">
        <v>885.28</v>
      </c>
    </row>
    <row r="92" spans="1:11" x14ac:dyDescent="0.35">
      <c r="A92" t="s">
        <v>140</v>
      </c>
      <c r="B92" s="2">
        <v>45947</v>
      </c>
      <c r="C92" t="s">
        <v>12</v>
      </c>
      <c r="D92" t="s">
        <v>39</v>
      </c>
      <c r="E92" t="s">
        <v>40</v>
      </c>
      <c r="F92" t="s">
        <v>41</v>
      </c>
      <c r="G92">
        <v>2</v>
      </c>
      <c r="H92" s="3">
        <v>9000</v>
      </c>
      <c r="I92" s="3">
        <v>18000</v>
      </c>
      <c r="J92" s="3">
        <v>13350.04</v>
      </c>
      <c r="K92" s="3">
        <v>4649.96</v>
      </c>
    </row>
    <row r="93" spans="1:11" x14ac:dyDescent="0.35">
      <c r="A93" t="s">
        <v>141</v>
      </c>
      <c r="B93" s="2">
        <v>45832</v>
      </c>
      <c r="C93" t="s">
        <v>12</v>
      </c>
      <c r="D93" t="s">
        <v>39</v>
      </c>
      <c r="E93" t="s">
        <v>40</v>
      </c>
      <c r="F93" t="s">
        <v>57</v>
      </c>
      <c r="G93">
        <v>7</v>
      </c>
      <c r="H93" s="3">
        <v>9000</v>
      </c>
      <c r="I93" s="3">
        <v>63000</v>
      </c>
      <c r="J93" s="3">
        <v>54748.29</v>
      </c>
      <c r="K93" s="3">
        <v>8251.7099999999991</v>
      </c>
    </row>
    <row r="94" spans="1:11" x14ac:dyDescent="0.35">
      <c r="A94" t="s">
        <v>142</v>
      </c>
      <c r="B94" s="2">
        <v>45983</v>
      </c>
      <c r="C94" t="s">
        <v>38</v>
      </c>
      <c r="D94" t="s">
        <v>17</v>
      </c>
      <c r="E94" t="s">
        <v>21</v>
      </c>
      <c r="F94" t="s">
        <v>26</v>
      </c>
      <c r="G94">
        <v>3</v>
      </c>
      <c r="H94" s="3">
        <v>180</v>
      </c>
      <c r="I94" s="3">
        <v>540</v>
      </c>
      <c r="J94" s="3">
        <v>434.95</v>
      </c>
      <c r="K94" s="3">
        <v>105.05</v>
      </c>
    </row>
    <row r="95" spans="1:11" x14ac:dyDescent="0.35">
      <c r="A95" t="s">
        <v>143</v>
      </c>
      <c r="B95" s="2">
        <v>45991</v>
      </c>
      <c r="C95" t="s">
        <v>24</v>
      </c>
      <c r="D95" t="s">
        <v>17</v>
      </c>
      <c r="E95" t="s">
        <v>18</v>
      </c>
      <c r="F95" t="s">
        <v>115</v>
      </c>
      <c r="G95">
        <v>7</v>
      </c>
      <c r="H95" s="3">
        <v>300</v>
      </c>
      <c r="I95" s="3">
        <v>2100</v>
      </c>
      <c r="J95" s="3">
        <v>1745.53</v>
      </c>
      <c r="K95" s="3">
        <v>354.47</v>
      </c>
    </row>
    <row r="96" spans="1:11" x14ac:dyDescent="0.35">
      <c r="A96" t="s">
        <v>144</v>
      </c>
      <c r="B96" s="2">
        <v>45961</v>
      </c>
      <c r="C96" t="s">
        <v>24</v>
      </c>
      <c r="D96" t="s">
        <v>39</v>
      </c>
      <c r="E96" t="s">
        <v>99</v>
      </c>
      <c r="F96" t="s">
        <v>78</v>
      </c>
      <c r="G96">
        <v>5</v>
      </c>
      <c r="H96" s="3">
        <v>12000</v>
      </c>
      <c r="I96" s="3">
        <v>60000</v>
      </c>
      <c r="J96" s="3">
        <v>50811.4</v>
      </c>
      <c r="K96" s="3">
        <v>9188.6</v>
      </c>
    </row>
    <row r="97" spans="1:11" x14ac:dyDescent="0.35">
      <c r="A97" t="s">
        <v>145</v>
      </c>
      <c r="B97" s="2">
        <v>45782</v>
      </c>
      <c r="C97" t="s">
        <v>38</v>
      </c>
      <c r="D97" t="s">
        <v>17</v>
      </c>
      <c r="E97" t="s">
        <v>18</v>
      </c>
      <c r="F97" t="s">
        <v>48</v>
      </c>
      <c r="G97">
        <v>1</v>
      </c>
      <c r="H97" s="3">
        <v>300</v>
      </c>
      <c r="I97" s="3">
        <v>300</v>
      </c>
      <c r="J97" s="3">
        <v>221.52</v>
      </c>
      <c r="K97" s="3">
        <v>78.48</v>
      </c>
    </row>
    <row r="98" spans="1:11" x14ac:dyDescent="0.35">
      <c r="A98" t="s">
        <v>146</v>
      </c>
      <c r="B98" s="2">
        <v>45824</v>
      </c>
      <c r="C98" t="s">
        <v>45</v>
      </c>
      <c r="D98" t="s">
        <v>39</v>
      </c>
      <c r="E98" t="s">
        <v>99</v>
      </c>
      <c r="F98" t="s">
        <v>41</v>
      </c>
      <c r="G98">
        <v>5</v>
      </c>
      <c r="H98" s="3">
        <v>12000</v>
      </c>
      <c r="I98" s="3">
        <v>60000</v>
      </c>
      <c r="J98" s="3">
        <v>41717.69</v>
      </c>
      <c r="K98" s="3">
        <v>18282.310000000001</v>
      </c>
    </row>
    <row r="99" spans="1:11" x14ac:dyDescent="0.35">
      <c r="A99" t="s">
        <v>147</v>
      </c>
      <c r="B99" s="2">
        <v>45963</v>
      </c>
      <c r="C99" t="s">
        <v>24</v>
      </c>
      <c r="D99" t="s">
        <v>17</v>
      </c>
      <c r="E99" t="s">
        <v>43</v>
      </c>
      <c r="F99" t="s">
        <v>53</v>
      </c>
      <c r="G99">
        <v>4</v>
      </c>
      <c r="H99" s="3">
        <v>450</v>
      </c>
      <c r="I99" s="3">
        <v>1800</v>
      </c>
      <c r="J99" s="3">
        <v>1123.1500000000001</v>
      </c>
      <c r="K99" s="3">
        <v>676.85</v>
      </c>
    </row>
    <row r="100" spans="1:11" x14ac:dyDescent="0.35">
      <c r="A100" t="s">
        <v>148</v>
      </c>
      <c r="B100" s="2">
        <v>45866</v>
      </c>
      <c r="C100" t="s">
        <v>38</v>
      </c>
      <c r="D100" t="s">
        <v>17</v>
      </c>
      <c r="E100" t="s">
        <v>21</v>
      </c>
      <c r="F100" t="s">
        <v>62</v>
      </c>
      <c r="G100">
        <v>8</v>
      </c>
      <c r="H100" s="3">
        <v>180</v>
      </c>
      <c r="I100" s="3">
        <v>1440</v>
      </c>
      <c r="J100" s="3">
        <v>1044.7</v>
      </c>
      <c r="K100" s="3">
        <v>395.3</v>
      </c>
    </row>
    <row r="101" spans="1:11" x14ac:dyDescent="0.35">
      <c r="A101" t="s">
        <v>149</v>
      </c>
      <c r="B101" s="2">
        <v>45666</v>
      </c>
      <c r="C101" t="s">
        <v>12</v>
      </c>
      <c r="D101" t="s">
        <v>39</v>
      </c>
      <c r="E101" t="s">
        <v>99</v>
      </c>
      <c r="F101" t="s">
        <v>29</v>
      </c>
      <c r="G101">
        <v>4</v>
      </c>
      <c r="H101" s="3">
        <v>12000</v>
      </c>
      <c r="I101" s="3">
        <v>48000</v>
      </c>
      <c r="J101" s="3">
        <v>32915.410000000003</v>
      </c>
      <c r="K101" s="3">
        <v>15084.59</v>
      </c>
    </row>
  </sheetData>
  <autoFilter ref="A1:K1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2"/>
  <sheetViews>
    <sheetView tabSelected="1" workbookViewId="0">
      <selection activeCell="C9" sqref="C9"/>
    </sheetView>
  </sheetViews>
  <sheetFormatPr defaultRowHeight="14.5" x14ac:dyDescent="0.35"/>
  <cols>
    <col min="1" max="1" width="21" customWidth="1"/>
    <col min="2" max="3" width="28" customWidth="1"/>
    <col min="4" max="4" width="12" customWidth="1"/>
    <col min="5" max="5" width="17" customWidth="1"/>
    <col min="6" max="7" width="28" customWidth="1"/>
  </cols>
  <sheetData>
    <row r="1" spans="1:7" ht="23.5" x14ac:dyDescent="0.55000000000000004">
      <c r="A1" s="4" t="s">
        <v>150</v>
      </c>
    </row>
    <row r="3" spans="1:7" x14ac:dyDescent="0.35">
      <c r="A3" t="s">
        <v>151</v>
      </c>
      <c r="B3" t="s">
        <v>152</v>
      </c>
    </row>
    <row r="4" spans="1:7" x14ac:dyDescent="0.35">
      <c r="A4" t="s">
        <v>153</v>
      </c>
      <c r="B4" s="3">
        <f>SUM(Sales_Data!I2:I101)</f>
        <v>6287000</v>
      </c>
    </row>
    <row r="5" spans="1:7" x14ac:dyDescent="0.35">
      <c r="A5" t="s">
        <v>154</v>
      </c>
      <c r="B5" s="3">
        <f>SUM(Sales_Data!J2:J101)</f>
        <v>4636263.8300000029</v>
      </c>
    </row>
    <row r="6" spans="1:7" x14ac:dyDescent="0.35">
      <c r="A6" t="s">
        <v>155</v>
      </c>
      <c r="B6" s="3">
        <f>SUM(Sales_Data!K2:K101)</f>
        <v>1650736.1700000002</v>
      </c>
    </row>
    <row r="7" spans="1:7" x14ac:dyDescent="0.35">
      <c r="A7" t="s">
        <v>156</v>
      </c>
      <c r="B7" s="3">
        <f>COUNTA(Sales_Data!A2:A101)</f>
        <v>100</v>
      </c>
    </row>
    <row r="8" spans="1:7" x14ac:dyDescent="0.35">
      <c r="A8" t="s">
        <v>157</v>
      </c>
      <c r="B8" s="3">
        <f>SUM(Sales_Data!G2:G101)</f>
        <v>500</v>
      </c>
    </row>
    <row r="9" spans="1:7" x14ac:dyDescent="0.35">
      <c r="A9" t="s">
        <v>158</v>
      </c>
      <c r="B9" s="3">
        <f>B4/B7</f>
        <v>62870</v>
      </c>
    </row>
    <row r="12" spans="1:7" x14ac:dyDescent="0.35">
      <c r="A12" s="9" t="s">
        <v>2</v>
      </c>
      <c r="B12" s="9" t="s">
        <v>8</v>
      </c>
      <c r="C12" s="9" t="s">
        <v>10</v>
      </c>
      <c r="E12" s="6" t="s">
        <v>3</v>
      </c>
      <c r="F12" s="6" t="s">
        <v>8</v>
      </c>
      <c r="G12" s="6" t="s">
        <v>10</v>
      </c>
    </row>
    <row r="13" spans="1:7" x14ac:dyDescent="0.35">
      <c r="A13" s="7" t="s">
        <v>12</v>
      </c>
      <c r="B13" s="8">
        <f>SUMIF(Sales_Data!C2:C101,A13,Sales_Data!I2:I101)</f>
        <v>1793440</v>
      </c>
      <c r="C13" s="8">
        <f>SUMIF(Sales_Data!C2:C101,A13,Sales_Data!K2:K101)</f>
        <v>516114.02</v>
      </c>
      <c r="E13" s="7" t="s">
        <v>13</v>
      </c>
      <c r="F13" s="8">
        <f>SUMIF(Sales_Data!D2:D101,E13,Sales_Data!I2:I101)</f>
        <v>4590900</v>
      </c>
      <c r="G13" s="8">
        <f>SUMIF(Sales_Data!D2:D101,E13,Sales_Data!K2:K101)</f>
        <v>1230508.4000000001</v>
      </c>
    </row>
    <row r="14" spans="1:7" x14ac:dyDescent="0.35">
      <c r="A14" s="7" t="s">
        <v>45</v>
      </c>
      <c r="B14" s="8">
        <f>SUMIF(Sales_Data!C2:C101,A14,Sales_Data!I2:I101)</f>
        <v>1278060</v>
      </c>
      <c r="C14" s="8">
        <f>SUMIF(Sales_Data!C2:C101,A14,Sales_Data!K2:K101)</f>
        <v>330967.9800000001</v>
      </c>
      <c r="E14" s="7" t="s">
        <v>39</v>
      </c>
      <c r="F14" s="8">
        <f>SUMIF(Sales_Data!D2:D101,E14,Sales_Data!I2:I101)</f>
        <v>1661500</v>
      </c>
      <c r="G14" s="8">
        <f>SUMIF(Sales_Data!D2:D101,E14,Sales_Data!K2:K101)</f>
        <v>412003.8600000001</v>
      </c>
    </row>
    <row r="15" spans="1:7" x14ac:dyDescent="0.35">
      <c r="A15" s="7" t="s">
        <v>24</v>
      </c>
      <c r="B15" s="8">
        <f>SUMIF(Sales_Data!C2:C101,A15,Sales_Data!I2:I101)</f>
        <v>2052530</v>
      </c>
      <c r="C15" s="8">
        <f>SUMIF(Sales_Data!C2:C101,A15,Sales_Data!K2:K101)</f>
        <v>482676.44999999995</v>
      </c>
      <c r="E15" s="7" t="s">
        <v>17</v>
      </c>
      <c r="F15" s="8">
        <f>SUMIF(Sales_Data!D2:D101,E15,Sales_Data!I2:I101)</f>
        <v>34600</v>
      </c>
      <c r="G15" s="8">
        <f>SUMIF(Sales_Data!D2:D101,E15,Sales_Data!K2:K101)</f>
        <v>8223.91</v>
      </c>
    </row>
    <row r="16" spans="1:7" x14ac:dyDescent="0.35">
      <c r="A16" s="7" t="s">
        <v>38</v>
      </c>
      <c r="B16" s="8">
        <f>SUMIF(Sales_Data!C2:C101,A16,Sales_Data!I2:I101)</f>
        <v>1162970</v>
      </c>
      <c r="C16" s="8">
        <f>SUMIF(Sales_Data!C2:C101,A16,Sales_Data!K2:K101)</f>
        <v>320977.71999999997</v>
      </c>
    </row>
    <row r="20" spans="1:6" x14ac:dyDescent="0.35">
      <c r="A20" s="10" t="s">
        <v>4</v>
      </c>
      <c r="B20" s="10" t="s">
        <v>8</v>
      </c>
      <c r="E20" s="11" t="s">
        <v>159</v>
      </c>
      <c r="F20" s="11" t="s">
        <v>8</v>
      </c>
    </row>
    <row r="21" spans="1:6" x14ac:dyDescent="0.35">
      <c r="A21" s="7" t="s">
        <v>28</v>
      </c>
      <c r="B21" s="8">
        <f>SUMIF(Sales_Data!E2:E101,A21,Sales_Data!I2:I101)</f>
        <v>2990000</v>
      </c>
      <c r="E21" s="12">
        <v>45658</v>
      </c>
      <c r="F21" s="8">
        <f>SUMIFS(Sales_Data!I2:I101,Sales_Data!B2:B101,"&gt;="&amp;E21,Sales_Data!B2:B101,"&lt;"&amp;EDATE(E21,1))</f>
        <v>589700</v>
      </c>
    </row>
    <row r="22" spans="1:6" x14ac:dyDescent="0.35">
      <c r="A22" s="7" t="s">
        <v>25</v>
      </c>
      <c r="B22" s="8">
        <f>SUMIF(Sales_Data!E2:E101,A22,Sales_Data!I2:I101)</f>
        <v>1512000</v>
      </c>
      <c r="E22" s="12">
        <v>45689</v>
      </c>
      <c r="F22" s="8">
        <f>SUMIFS(Sales_Data!I2:I101,Sales_Data!B2:B101,"&gt;="&amp;E22,Sales_Data!B2:B101,"&lt;"&amp;EDATE(E22,1))</f>
        <v>475610</v>
      </c>
    </row>
    <row r="23" spans="1:6" x14ac:dyDescent="0.35">
      <c r="A23" s="7" t="s">
        <v>14</v>
      </c>
      <c r="B23" s="8">
        <f>SUMIF(Sales_Data!E2:E101,A23,Sales_Data!I2:I101)</f>
        <v>32500</v>
      </c>
      <c r="E23" s="12">
        <v>45717</v>
      </c>
      <c r="F23" s="8">
        <f>SUMIFS(Sales_Data!I2:I101,Sales_Data!B2:B101,"&gt;="&amp;E23,Sales_Data!B2:B101,"&lt;"&amp;EDATE(E23,1))</f>
        <v>38850</v>
      </c>
    </row>
    <row r="24" spans="1:6" x14ac:dyDescent="0.35">
      <c r="A24" s="7" t="s">
        <v>31</v>
      </c>
      <c r="B24" s="8">
        <f>SUMIF(Sales_Data!E2:E101,A24,Sales_Data!I2:I101)</f>
        <v>56400</v>
      </c>
      <c r="E24" s="12">
        <v>45748</v>
      </c>
      <c r="F24" s="8">
        <f>SUMIFS(Sales_Data!I2:I101,Sales_Data!B2:B101,"&gt;="&amp;E24,Sales_Data!B2:B101,"&lt;"&amp;EDATE(E24,1))</f>
        <v>402210</v>
      </c>
    </row>
    <row r="25" spans="1:6" x14ac:dyDescent="0.35">
      <c r="A25" s="7" t="s">
        <v>87</v>
      </c>
      <c r="B25" s="8">
        <f>SUMIF(Sales_Data!E2:E101,A25,Sales_Data!I2:I101)</f>
        <v>459000</v>
      </c>
      <c r="E25" s="12">
        <v>45778</v>
      </c>
      <c r="F25" s="8">
        <f>SUMIFS(Sales_Data!I2:I101,Sales_Data!B2:B101,"&gt;="&amp;E25,Sales_Data!B2:B101,"&lt;"&amp;EDATE(E25,1))</f>
        <v>822950</v>
      </c>
    </row>
    <row r="26" spans="1:6" x14ac:dyDescent="0.35">
      <c r="A26" s="7" t="s">
        <v>99</v>
      </c>
      <c r="B26" s="8">
        <f>SUMIF(Sales_Data!E2:E101,A26,Sales_Data!I2:I101)</f>
        <v>564000</v>
      </c>
      <c r="E26" s="12">
        <v>45809</v>
      </c>
      <c r="F26" s="8">
        <f>SUMIFS(Sales_Data!I2:I101,Sales_Data!B2:B101,"&gt;="&amp;E26,Sales_Data!B2:B101,"&lt;"&amp;EDATE(E26,1))</f>
        <v>947190</v>
      </c>
    </row>
    <row r="27" spans="1:6" x14ac:dyDescent="0.35">
      <c r="A27" s="7" t="s">
        <v>81</v>
      </c>
      <c r="B27" s="8">
        <f>SUMIF(Sales_Data!E2:E101,A27,Sales_Data!I2:I101)</f>
        <v>188500</v>
      </c>
      <c r="E27" s="12">
        <v>45839</v>
      </c>
      <c r="F27" s="8">
        <f>SUMIFS(Sales_Data!I2:I101,Sales_Data!B2:B101,"&gt;="&amp;E27,Sales_Data!B2:B101,"&lt;"&amp;EDATE(E27,1))</f>
        <v>1242540</v>
      </c>
    </row>
    <row r="28" spans="1:6" x14ac:dyDescent="0.35">
      <c r="A28" s="7" t="s">
        <v>40</v>
      </c>
      <c r="B28" s="8">
        <f>SUMIF(Sales_Data!E2:E101,A28,Sales_Data!I2:I101)</f>
        <v>450000</v>
      </c>
      <c r="E28" s="12">
        <v>45870</v>
      </c>
      <c r="F28" s="8">
        <f>SUMIFS(Sales_Data!I2:I101,Sales_Data!B2:B101,"&gt;="&amp;E28,Sales_Data!B2:B101,"&lt;"&amp;EDATE(E28,1))</f>
        <v>600800</v>
      </c>
    </row>
    <row r="29" spans="1:6" x14ac:dyDescent="0.35">
      <c r="A29" s="7" t="s">
        <v>43</v>
      </c>
      <c r="B29" s="8">
        <f>SUMIF(Sales_Data!E2:E101,A29,Sales_Data!I2:I101)</f>
        <v>7650</v>
      </c>
      <c r="E29" s="12">
        <v>45901</v>
      </c>
      <c r="F29" s="8">
        <f>SUMIFS(Sales_Data!I2:I101,Sales_Data!B2:B101,"&gt;="&amp;E29,Sales_Data!B2:B101,"&lt;"&amp;EDATE(E29,1))</f>
        <v>292100</v>
      </c>
    </row>
    <row r="30" spans="1:6" x14ac:dyDescent="0.35">
      <c r="A30" s="7" t="s">
        <v>21</v>
      </c>
      <c r="B30" s="8">
        <f>SUMIF(Sales_Data!E2:E101,A30,Sales_Data!I2:I101)</f>
        <v>7200</v>
      </c>
      <c r="E30" s="12">
        <v>45931</v>
      </c>
      <c r="F30" s="8">
        <f>SUMIFS(Sales_Data!I2:I101,Sales_Data!B2:B101,"&gt;="&amp;E30,Sales_Data!B2:B101,"&lt;"&amp;EDATE(E30,1))</f>
        <v>552360</v>
      </c>
    </row>
    <row r="31" spans="1:6" x14ac:dyDescent="0.35">
      <c r="A31" s="7" t="s">
        <v>33</v>
      </c>
      <c r="B31" s="8">
        <f>SUMIF(Sales_Data!E2:E101,A31,Sales_Data!I2:I101)</f>
        <v>10750</v>
      </c>
      <c r="E31" s="12">
        <v>45962</v>
      </c>
      <c r="F31" s="8">
        <f>SUMIFS(Sales_Data!I2:I101,Sales_Data!B2:B101,"&gt;="&amp;E31,Sales_Data!B2:B101,"&lt;"&amp;EDATE(E31,1))</f>
        <v>235940</v>
      </c>
    </row>
    <row r="32" spans="1:6" x14ac:dyDescent="0.35">
      <c r="A32" s="7" t="s">
        <v>18</v>
      </c>
      <c r="B32" s="8">
        <f>SUMIF(Sales_Data!E2:E101,A32,Sales_Data!I2:I101)</f>
        <v>9000</v>
      </c>
      <c r="E32" s="12">
        <v>45992</v>
      </c>
      <c r="F32" s="8">
        <f>SUMIFS(Sales_Data!I2:I101,Sales_Data!B2:B101,"&gt;="&amp;E32,Sales_Data!B2:B101,"&lt;"&amp;EDATE(E32,1))</f>
        <v>86750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4.5" x14ac:dyDescent="0.35"/>
  <cols>
    <col min="1" max="1" width="15" customWidth="1"/>
    <col min="2" max="2" width="28" customWidth="1"/>
  </cols>
  <sheetData>
    <row r="1" spans="1:2" x14ac:dyDescent="0.35">
      <c r="A1" s="5" t="s">
        <v>160</v>
      </c>
      <c r="B1" t="s">
        <v>161</v>
      </c>
    </row>
    <row r="2" spans="1:2" x14ac:dyDescent="0.35">
      <c r="A2" s="5" t="s">
        <v>162</v>
      </c>
      <c r="B2" t="s">
        <v>163</v>
      </c>
    </row>
    <row r="3" spans="1:2" x14ac:dyDescent="0.35">
      <c r="A3" s="5" t="s">
        <v>164</v>
      </c>
      <c r="B3" t="s">
        <v>165</v>
      </c>
    </row>
    <row r="4" spans="1:2" x14ac:dyDescent="0.35">
      <c r="A4" s="5" t="s">
        <v>166</v>
      </c>
      <c r="B4" t="s">
        <v>167</v>
      </c>
    </row>
    <row r="5" spans="1:2" x14ac:dyDescent="0.35">
      <c r="A5" s="5" t="s">
        <v>168</v>
      </c>
      <c r="B5" t="s">
        <v>169</v>
      </c>
    </row>
    <row r="6" spans="1:2" x14ac:dyDescent="0.35">
      <c r="A6" s="5" t="s">
        <v>170</v>
      </c>
      <c r="B6" t="s">
        <v>171</v>
      </c>
    </row>
    <row r="7" spans="1:2" x14ac:dyDescent="0.35">
      <c r="A7" s="5" t="s">
        <v>172</v>
      </c>
      <c r="B7" t="s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Analysis</vt:lpstr>
      <vt:lpstr>Project_Overview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Gk Vamsi</cp:lastModifiedBy>
  <dcterms:created xsi:type="dcterms:W3CDTF">2026-10-05T13:24:41Z</dcterms:created>
  <dcterms:modified xsi:type="dcterms:W3CDTF">2026-10-05T13:29:37Z</dcterms:modified>
</cp:coreProperties>
</file>